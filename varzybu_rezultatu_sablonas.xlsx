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525c86b98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rma diena" sheetId="1" r:id="Rce5903f1e3344a55"/>
    <x:sheet xmlns:r="http://schemas.openxmlformats.org/officeDocument/2006/relationships" name="Antra diena" sheetId="2" r:id="Rdef47f337cbf412a"/>
    <x:sheet xmlns:r="http://schemas.openxmlformats.org/officeDocument/2006/relationships" name="Trečia diena" sheetId="3" r:id="R0ff9c3be2e8f4cfd"/>
    <x:sheet xmlns:r="http://schemas.openxmlformats.org/officeDocument/2006/relationships" name="Galutinė įskaita" sheetId="4" r:id="Rd9541a844af5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sz val="10"/>
      <x:name val="Aptos"/>
    </x:font>
    <x:font>
      <x:b/>
      <x:sz val="18"/>
      <x:color rgb="FFFFFFFF"/>
      <x:name val="Aptos Display"/>
    </x:font>
    <x:font>
      <x:sz val="10"/>
      <x:color rgb="FF344B45"/>
      <x:name val="Aptos"/>
    </x:font>
    <x:font>
      <x:b/>
      <x:sz val="10"/>
      <x:color rgb="FFFFFFFF"/>
      <x:name val="Aptos"/>
    </x:font>
    <x:font>
      <x:b/>
      <x:sz val="14"/>
      <x:color rgb="FFFFFFFF"/>
      <x:name val="Aptos"/>
    </x:font>
    <x:font>
      <x:b/>
      <x:sz val="10"/>
      <x:color rgb="FF3C321F"/>
      <x:name val="Aptos"/>
    </x:font>
    <x:font>
      <x:b/>
      <x:sz val="10"/>
      <x:color rgb="FF123B32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23B32"/>
      </x:patternFill>
    </x:fill>
    <x:fill>
      <x:patternFill patternType="solid">
        <x:fgColor rgb="FFEAF2EE"/>
      </x:patternFill>
    </x:fill>
    <x:fill>
      <x:patternFill patternType="solid">
        <x:fgColor rgb="FF176B57"/>
      </x:patternFill>
    </x:fill>
    <x:fill>
      <x:patternFill patternType="solid">
        <x:fgColor rgb="FFFFFDF2"/>
      </x:patternFill>
    </x:fill>
    <x:fill>
      <x:patternFill patternType="solid">
        <x:fgColor rgb="FFEDF6F2"/>
      </x:patternFill>
    </x:fill>
    <x:fill>
      <x:patternFill patternType="solid">
        <x:fgColor rgb="FFFFF8E8"/>
      </x:patternFill>
    </x:fill>
    <x:fill>
      <x:patternFill patternType="solid">
        <x:fgColor rgb="FFEEF7FF"/>
      </x:patternFill>
    </x:fill>
    <x:fill>
      <x:patternFill patternType="solid">
        <x:fgColor rgb="FFF2F8EC"/>
      </x:patternFill>
    </x:fill>
    <x:fill>
      <x:patternFill patternType="solid">
        <x:fgColor rgb="FFF8EFFA"/>
      </x:patternFill>
    </x:fill>
    <x:fill>
      <x:patternFill patternType="solid">
        <x:fgColor rgb="FFFFF0EF"/>
      </x:patternFill>
    </x:fill>
    <x:fill>
      <x:patternFill patternType="solid">
        <x:fgColor rgb="FFC89B3C"/>
      </x:patternFill>
    </x:fill>
    <x:fill>
      <x:patternFill patternType="solid">
        <x:fgColor rgb="FFE8D6AD"/>
      </x:patternFill>
    </x:fill>
    <x:fill>
      <x:patternFill patternType="solid">
        <x:fgColor rgb="FFFAF6EC"/>
      </x:patternFill>
    </x:fill>
  </x:fills>
  <x:borders count="6">
    <x:border/>
    <x:border>
      <x:top style="medium">
        <x:color rgb="FF176B57"/>
      </x:top>
    </x:border>
    <x:border>
      <x:left style="thin">
        <x:color rgb="FFDFD2B8"/>
      </x:left>
      <x:right style="thin">
        <x:color rgb="FFDFD2B8"/>
      </x:right>
      <x:top style="thin">
        <x:color rgb="FFDFD2B8"/>
      </x:top>
      <x:bottom style="thin">
        <x:color rgb="FFDFD2B8"/>
      </x:bottom>
    </x:border>
    <x:border>
      <x:bottom style="thin">
        <x:color rgb="FFE5E0D3"/>
      </x:bottom>
    </x:border>
    <x:border>
      <x:top style="thin">
        <x:color rgb="FFE5E0D3"/>
      </x:top>
      <x:bottom style="thin">
        <x:color rgb="FFE5E0D3"/>
      </x:bottom>
    </x:border>
    <x:border>
      <x:top style="thin">
        <x:color rgb="FFE5E0D3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1" fillId="11" borderId="0" xfId="0" applyNumberFormat="1" applyFont="1" applyFill="1" applyBorder="1"/>
    <x:xf numFmtId="0" fontId="1" fillId="7" borderId="1" xfId="0" applyNumberFormat="1" applyFont="1" applyFill="1" applyBorder="1"/>
    <x:xf numFmtId="0" fontId="1" fillId="6" borderId="1" xfId="0" applyNumberFormat="1" applyFont="1" applyFill="1" applyBorder="1"/>
    <x:xf numFmtId="0" fontId="1" fillId="8" borderId="1" xfId="0" applyNumberFormat="1" applyFont="1" applyFill="1" applyBorder="1"/>
    <x:xf numFmtId="0" fontId="1" fillId="9" borderId="1" xfId="0" applyNumberFormat="1" applyFont="1" applyFill="1" applyBorder="1"/>
    <x:xf numFmtId="0" fontId="1" fillId="10" borderId="1" xfId="0" applyNumberFormat="1" applyFont="1" applyFill="1" applyBorder="1"/>
    <x:xf numFmtId="0" fontId="1" fillId="11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/>
    </x:xf>
    <x:xf numFmtId="0" fontId="1" fillId="11" borderId="1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right"/>
    </x:xf>
    <x:xf numFmtId="0" fontId="1" fillId="6" borderId="1" xfId="0" applyNumberFormat="1" applyFont="1" applyFill="1" applyBorder="1" applyAlignment="1">
      <x:alignment horizontal="right"/>
    </x:xf>
    <x:xf numFmtId="0" fontId="1" fillId="7" borderId="0" xfId="0" applyNumberFormat="1" applyFont="1" applyFill="1" applyBorder="1" applyAlignment="1">
      <x:alignment horizontal="right"/>
    </x:xf>
    <x:xf numFmtId="0" fontId="1" fillId="6" borderId="0" xfId="0" applyNumberFormat="1" applyFont="1" applyFill="1" applyBorder="1" applyAlignment="1">
      <x:alignment horizontal="right"/>
    </x:xf>
    <x:xf numFmtId="0" fontId="1" fillId="8" borderId="1" xfId="0" applyNumberFormat="1" applyFont="1" applyFill="1" applyBorder="1" applyAlignment="1">
      <x:alignment horizontal="right"/>
    </x:xf>
    <x:xf numFmtId="0" fontId="1" fillId="8" borderId="0" xfId="0" applyNumberFormat="1" applyFont="1" applyFill="1" applyBorder="1" applyAlignment="1">
      <x:alignment horizontal="right"/>
    </x:xf>
    <x:xf numFmtId="0" fontId="1" fillId="9" borderId="1" xfId="0" applyNumberFormat="1" applyFont="1" applyFill="1" applyBorder="1" applyAlignment="1">
      <x:alignment horizontal="right"/>
    </x:xf>
    <x:xf numFmtId="0" fontId="1" fillId="9" borderId="0" xfId="0" applyNumberFormat="1" applyFont="1" applyFill="1" applyBorder="1" applyAlignment="1">
      <x:alignment horizontal="right"/>
    </x:xf>
    <x:xf numFmtId="0" fontId="1" fillId="10" borderId="1" xfId="0" applyNumberFormat="1" applyFont="1" applyFill="1" applyBorder="1" applyAlignment="1">
      <x:alignment horizontal="right"/>
    </x:xf>
    <x:xf numFmtId="0" fontId="1" fillId="10" borderId="0" xfId="0" applyNumberFormat="1" applyFont="1" applyFill="1" applyBorder="1" applyAlignment="1">
      <x:alignment horizontal="right"/>
    </x:xf>
    <x:xf numFmtId="0" fontId="1" fillId="11" borderId="1" xfId="0" applyNumberFormat="1" applyFont="1" applyFill="1" applyBorder="1" applyAlignment="1">
      <x:alignment horizontal="right"/>
    </x:xf>
    <x:xf numFmtId="0" fontId="1" fillId="11" borderId="0" xfId="0" applyNumberFormat="1" applyFont="1" applyFill="1" applyBorder="1" applyAlignment="1">
      <x:alignment horizontal="right"/>
    </x:xf>
    <x:xf numFmtId="200" fontId="1" fillId="7" borderId="1" xfId="0" applyNumberFormat="1" applyFont="1" applyFill="1" applyBorder="1" applyAlignment="1">
      <x:alignment horizontal="right"/>
    </x:xf>
    <x:xf numFmtId="200" fontId="1" fillId="7" borderId="0" xfId="0" applyNumberFormat="1" applyFont="1" applyFill="1" applyBorder="1" applyAlignment="1">
      <x:alignment horizontal="right"/>
    </x:xf>
    <x:xf numFmtId="200" fontId="1" fillId="8" borderId="1" xfId="0" applyNumberFormat="1" applyFont="1" applyFill="1" applyBorder="1" applyAlignment="1">
      <x:alignment horizontal="right"/>
    </x:xf>
    <x:xf numFmtId="200" fontId="1" fillId="8" borderId="0" xfId="0" applyNumberFormat="1" applyFont="1" applyFill="1" applyBorder="1" applyAlignment="1">
      <x:alignment horizontal="right"/>
    </x:xf>
    <x:xf numFmtId="200" fontId="1" fillId="9" borderId="1" xfId="0" applyNumberFormat="1" applyFont="1" applyFill="1" applyBorder="1" applyAlignment="1">
      <x:alignment horizontal="right"/>
    </x:xf>
    <x:xf numFmtId="200" fontId="1" fillId="9" borderId="0" xfId="0" applyNumberFormat="1" applyFont="1" applyFill="1" applyBorder="1" applyAlignment="1">
      <x:alignment horizontal="right"/>
    </x:xf>
    <x:xf numFmtId="200" fontId="1" fillId="10" borderId="1" xfId="0" applyNumberFormat="1" applyFont="1" applyFill="1" applyBorder="1" applyAlignment="1">
      <x:alignment horizontal="right"/>
    </x:xf>
    <x:xf numFmtId="200" fontId="1" fillId="10" borderId="0" xfId="0" applyNumberFormat="1" applyFont="1" applyFill="1" applyBorder="1" applyAlignment="1">
      <x:alignment horizontal="right"/>
    </x:xf>
    <x:xf numFmtId="200" fontId="1" fillId="11" borderId="1" xfId="0" applyNumberFormat="1" applyFont="1" applyFill="1" applyBorder="1" applyAlignment="1">
      <x:alignment horizontal="right"/>
    </x:xf>
    <x:xf numFmtId="200" fontId="1" fillId="11" borderId="0" xfId="0" applyNumberFormat="1" applyFont="1" applyFill="1" applyBorder="1" applyAlignment="1">
      <x:alignment horizontal="right"/>
    </x:xf>
    <x:xf numFmtId="201" fontId="1" fillId="7" borderId="1" xfId="0" applyNumberFormat="1" applyFont="1" applyFill="1" applyBorder="1" applyAlignment="1">
      <x:alignment horizontal="right"/>
    </x:xf>
    <x:xf numFmtId="201" fontId="1" fillId="7" borderId="0" xfId="0" applyNumberFormat="1" applyFont="1" applyFill="1" applyBorder="1" applyAlignment="1">
      <x:alignment horizontal="right"/>
    </x:xf>
    <x:xf numFmtId="201" fontId="1" fillId="8" borderId="1" xfId="0" applyNumberFormat="1" applyFont="1" applyFill="1" applyBorder="1" applyAlignment="1">
      <x:alignment horizontal="right"/>
    </x:xf>
    <x:xf numFmtId="201" fontId="1" fillId="8" borderId="0" xfId="0" applyNumberFormat="1" applyFont="1" applyFill="1" applyBorder="1" applyAlignment="1">
      <x:alignment horizontal="right"/>
    </x:xf>
    <x:xf numFmtId="201" fontId="1" fillId="9" borderId="1" xfId="0" applyNumberFormat="1" applyFont="1" applyFill="1" applyBorder="1" applyAlignment="1">
      <x:alignment horizontal="right"/>
    </x:xf>
    <x:xf numFmtId="201" fontId="1" fillId="9" borderId="0" xfId="0" applyNumberFormat="1" applyFont="1" applyFill="1" applyBorder="1" applyAlignment="1">
      <x:alignment horizontal="right"/>
    </x:xf>
    <x:xf numFmtId="201" fontId="1" fillId="10" borderId="1" xfId="0" applyNumberFormat="1" applyFont="1" applyFill="1" applyBorder="1" applyAlignment="1">
      <x:alignment horizontal="right"/>
    </x:xf>
    <x:xf numFmtId="201" fontId="1" fillId="10" borderId="0" xfId="0" applyNumberFormat="1" applyFont="1" applyFill="1" applyBorder="1" applyAlignment="1">
      <x:alignment horizontal="right"/>
    </x:xf>
    <x:xf numFmtId="201" fontId="1" fillId="11" borderId="1" xfId="0" applyNumberFormat="1" applyFont="1" applyFill="1" applyBorder="1" applyAlignment="1">
      <x:alignment horizontal="right"/>
    </x:xf>
    <x:xf numFmtId="201" fontId="1" fillId="11" borderId="0" xfId="0" applyNumberFormat="1" applyFont="1" applyFill="1" applyBorder="1" applyAlignment="1">
      <x:alignment horizontal="right"/>
    </x:xf>
    <x:xf numFmtId="200" fontId="1" fillId="6" borderId="1" xfId="0" applyNumberFormat="1" applyFont="1" applyFill="1" applyBorder="1" applyAlignment="1">
      <x:alignment horizontal="right"/>
    </x:xf>
    <x:xf numFmtId="200" fontId="1" fillId="6" borderId="0" xfId="0" applyNumberFormat="1" applyFont="1" applyFill="1" applyBorder="1" applyAlignment="1">
      <x:alignment horizontal="right"/>
    </x:xf>
    <x:xf numFmtId="0" fontId="1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/>
    <x:xf numFmtId="0" fontId="1" fillId="14" borderId="2" xfId="0" applyNumberFormat="1" applyFont="1" applyFill="1" applyBorder="1"/>
    <x:xf numFmtId="201" fontId="1" fillId="14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200" fontId="7" fillId="6" borderId="3" xfId="0" applyNumberFormat="1" applyFont="1" applyFill="1" applyBorder="1"/>
    <x:xf numFmtId="200" fontId="7" fillId="6" borderId="4" xfId="0" applyNumberFormat="1" applyFont="1" applyFill="1" applyBorder="1"/>
    <x:xf numFmtId="200" fontId="7" fillId="6" borderId="5" xfId="0" applyNumberFormat="1" applyFont="1" applyFill="1" applyBorder="1"/>
    <x:xf numFmtId="200" fontId="7" fillId="6" borderId="3" xfId="0" applyNumberFormat="1" applyFont="1" applyFill="1" applyBorder="1" applyAlignment="1">
      <x:alignment horizontal="center"/>
    </x:xf>
    <x:xf numFmtId="200" fontId="7" fillId="6" borderId="4" xfId="0" applyNumberFormat="1" applyFont="1" applyFill="1" applyBorder="1" applyAlignment="1">
      <x:alignment horizontal="center"/>
    </x:xf>
    <x:xf numFmtId="200" fontId="7" fillId="6" borderId="5" xfId="0" applyNumberFormat="1" applyFont="1" applyFill="1" applyBorder="1" applyAlignment="1">
      <x:alignment horizontal="center"/>
    </x:xf>
    <x:xf numFmtId="200" fontId="1" fillId="5" borderId="3" xfId="0" applyNumberFormat="1" applyFont="1" applyFill="1" applyBorder="1"/>
    <x:xf numFmtId="200" fontId="1" fillId="5" borderId="4" xfId="0" applyNumberFormat="1" applyFont="1" applyFill="1" applyBorder="1"/>
    <x:xf numFmtId="200" fontId="1" fillId="5" borderId="5" xfId="0" applyNumberFormat="1" applyFont="1" applyFill="1" applyBorder="1"/>
    <x:xf numFmtId="201" fontId="1" fillId="5" borderId="3" xfId="0" applyNumberFormat="1" applyFont="1" applyFill="1" applyBorder="1"/>
    <x:xf numFmtId="201" fontId="1" fillId="5" borderId="4" xfId="0" applyNumberFormat="1" applyFont="1" applyFill="1" applyBorder="1"/>
    <x:xf numFmtId="201" fontId="1" fillId="5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b2a23fe34404b" /><Relationship Type="http://schemas.openxmlformats.org/officeDocument/2006/relationships/theme" Target="/xl/theme/theme1.xml" Id="R68529afa7f614223" /><Relationship Type="http://schemas.openxmlformats.org/officeDocument/2006/relationships/sharedStrings" Target="/xl/sharedStrings.xml" Id="R8fe6d20c131b4821" /><Relationship Type="http://schemas.openxmlformats.org/officeDocument/2006/relationships/worksheet" Target="/xl/worksheets/sheet1.xml" Id="Rce5903f1e3344a55" /><Relationship Type="http://schemas.openxmlformats.org/officeDocument/2006/relationships/worksheet" Target="/xl/worksheets/sheet2.xml" Id="Rdef47f337cbf412a" /><Relationship Type="http://schemas.openxmlformats.org/officeDocument/2006/relationships/worksheet" Target="/xl/worksheets/sheet3.xml" Id="R0ff9c3be2e8f4cfd" /><Relationship Type="http://schemas.openxmlformats.org/officeDocument/2006/relationships/worksheet" Target="/xl/worksheets/sheet4.xml" Id="Rd9541a844af54eff" /></Relationships>
</file>

<file path=xl/tables/table1.xml><?xml version="1.0" encoding="utf-8"?>
<x:table xmlns:x="http://schemas.openxmlformats.org/spreadsheetml/2006/main" id="1" name="VarzybuRezultataiD1" displayName="VarzybuRezultataiD1" ref="A5:G90" headerRowCount="1" totalsRowCount="0" totalsRowShown="0">
  <x:autoFilter ref="A5:G90"/>
  <x:tableColumns count="7">
    <x:tableColumn id="1" name="Zona"/>
    <x:tableColumn id="2" name="Vardas Pavardė"/>
    <x:tableColumn id="3" name="Komanda"/>
    <x:tableColumn id="4" name="Sektorius"/>
    <x:tableColumn id="5" name="Svoris (g)"/>
    <x:tableColumn id="6" name="Vieta zonoje"/>
    <x:tableColumn id="7" name="Baudos taškai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arzybuRezultataiD2" displayName="VarzybuRezultataiD2" ref="A5:G90" headerRowCount="1" totalsRowCount="0" totalsRowShown="0">
  <x:autoFilter ref="A5:G90"/>
  <x:tableColumns count="7">
    <x:tableColumn id="1" name="Zona"/>
    <x:tableColumn id="2" name="Vardas Pavardė"/>
    <x:tableColumn id="3" name="Komanda"/>
    <x:tableColumn id="4" name="Sektorius"/>
    <x:tableColumn id="5" name="Svoris (g)"/>
    <x:tableColumn id="6" name="Vieta zonoje"/>
    <x:tableColumn id="7" name="Baudos taškai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arzybuRezultataiD3" displayName="VarzybuRezultataiD3" ref="A5:G90" headerRowCount="1" totalsRowCount="0" totalsRowShown="0">
  <x:autoFilter ref="A5:G90"/>
  <x:tableColumns count="7">
    <x:tableColumn id="1" name="Zona"/>
    <x:tableColumn id="2" name="Vardas Pavardė"/>
    <x:tableColumn id="3" name="Komanda"/>
    <x:tableColumn id="4" name="Sektorius"/>
    <x:tableColumn id="5" name="Svoris (g)"/>
    <x:tableColumn id="6" name="Vieta zonoje"/>
    <x:tableColumn id="7" name="Baudos taškai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GalutineIskaita" displayName="GalutineIskaita" ref="A5:J90" headerRowCount="1" totalsRowCount="0" totalsRowShown="0">
  <x:autoFilter ref="A5:J90"/>
  <x:tableColumns count="10">
    <x:tableColumn id="1" name="Vieta"/>
    <x:tableColumn id="2" name="Vardas Pavardė"/>
    <x:tableColumn id="3" name="Komanda"/>
    <x:tableColumn id="4" name="1 d. baudos"/>
    <x:tableColumn id="5" name="2 d. baudos"/>
    <x:tableColumn id="6" name="3 d. baudos"/>
    <x:tableColumn id="7" name="Dienų"/>
    <x:tableColumn id="8" name="Baudų suma"/>
    <x:tableColumn id="9" name="Bendras svoris (g)"/>
    <x:tableColumn id="10" name="Pastab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09540f5b34b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c2b8bdf05743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a9238ad5d46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2fe7db4fb94f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2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9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5" t="str">
        <x:v>VARŽYBŲ REZULTATAI – PIRMA DIENA</x:v>
      </x:c>
      <x:c r="B1" s="5"/>
      <x:c r="C1" s="5"/>
      <x:c r="D1" s="5"/>
      <x:c r="E1" s="5"/>
      <x:c r="F1" s="5"/>
      <x:c r="G1" s="5"/>
      <x:c r="H1" s="1"/>
      <x:c r="I1" s="74" t="str">
        <x:v>PIRMA DIENOS ZONŲ SUVESTINĖ</x:v>
      </x:c>
      <x:c r="J1" s="74"/>
      <x:c r="K1" s="74"/>
      <x:c r="L1" s="74"/>
    </x:row>
    <x:row r="2" ht="23" customHeight="1">
      <x:c r="A2" s="9" t="str">
        <x:v>Įvedami laukai: vardas pavardė, komanda, sektorius ir sugautas svoris gramais.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</x:row>
    <x:row r="3" ht="23" customHeight="1">
      <x:c r="A3" s="9" t="str">
        <x:v>Didžiausias svoris zonoje = 1 vieta = 1 baudos taškas.</x:v>
      </x:c>
      <x:c r="B3" s="9"/>
      <x:c r="C3" s="9"/>
      <x:c r="D3" s="9"/>
      <x:c r="E3" s="9"/>
      <x:c r="F3" s="9"/>
      <x:c r="G3" s="9"/>
      <x:c r="H3" s="1"/>
      <x:c r="I3" s="78" t="str">
        <x:v>Zona</x:v>
      </x:c>
      <x:c r="J3" s="78" t="str">
        <x:v>Dalyvių</x:v>
      </x:c>
      <x:c r="K3" s="78" t="str">
        <x:v>Bendras svoris (g)</x:v>
      </x:c>
      <x:c r="L3" s="78" t="str">
        <x:v>Didžiausias svoris (g)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80" t="str">
        <x:v>A</x:v>
      </x:c>
      <x:c r="J4" s="81" t="n">
        <x:f>COUNTIFS($A$6:$A$90,I4,$B$6:$B$90,"&lt;&gt;")</x:f>
        <x:v>0</x:v>
      </x:c>
      <x:c r="K4" s="81" t="n">
        <x:f>SUMIFS($E$6:$E$90,$A$6:$A$90,I4)</x:f>
        <x:v>0</x:v>
      </x:c>
      <x:c r="L4" s="81" t="str">
        <x:f>IF(J4=0,"",MAXIFS($E$6:$E$90,$A$6:$A$90,I4))</x:f>
      </x:c>
    </x:row>
    <x:row r="5" ht="30" customHeight="1">
      <x:c r="A5" s="14" t="str">
        <x:v>Zona</x:v>
      </x:c>
      <x:c r="B5" s="14" t="str">
        <x:v>Vardas Pavardė</x:v>
      </x:c>
      <x:c r="C5" s="14" t="str">
        <x:v>Komanda</x:v>
      </x:c>
      <x:c r="D5" s="14" t="str">
        <x:v>Sektorius</x:v>
      </x:c>
      <x:c r="E5" s="14" t="str">
        <x:v>Svoris (g)</x:v>
      </x:c>
      <x:c r="F5" s="14" t="str">
        <x:v>Vieta zonoje</x:v>
      </x:c>
      <x:c r="G5" s="14" t="str">
        <x:v>Baudos taškai</x:v>
      </x:c>
      <x:c r="H5" s="1"/>
      <x:c r="I5" s="80" t="str">
        <x:v>B</x:v>
      </x:c>
      <x:c r="J5" s="81" t="n">
        <x:f>COUNTIFS($A$6:$A$90,I5,$B$6:$B$90,"&lt;&gt;")</x:f>
        <x:v>0</x:v>
      </x:c>
      <x:c r="K5" s="81" t="n">
        <x:f>SUMIFS($E$6:$E$90,$A$6:$A$90,I5)</x:f>
        <x:v>0</x:v>
      </x:c>
      <x:c r="L5" s="81" t="str">
        <x:f>IF(J5=0,"",MAXIFS($E$6:$E$90,$A$6:$A$90,I5))</x:f>
      </x:c>
    </x:row>
    <x:row r="6">
      <x:c r="A6" s="28" t="str">
        <x:v>A</x:v>
      </x:c>
      <x:c r="B6" s="22"/>
      <x:c r="C6" s="22"/>
      <x:c r="D6" s="50" t="n">
        <x:v>1</x:v>
      </x:c>
      <x:c r="E6" s="60"/>
      <x:c r="F6" s="70" t="str">
        <x:f>IF(OR(A6="",B6="",E6=""),"",COUNTIFS($A$6:$A$90,A6,$E$6:$E$90,"&gt;"&amp;E6)+1)</x:f>
      </x:c>
      <x:c r="G6" s="70" t="str">
        <x:f>IF(F6="","",F6)</x:f>
      </x:c>
      <x:c r="H6" s="1"/>
      <x:c r="I6" s="80" t="str">
        <x:v>C</x:v>
      </x:c>
      <x:c r="J6" s="81" t="n">
        <x:f>COUNTIFS($A$6:$A$90,I6,$B$6:$B$90,"&lt;&gt;")</x:f>
        <x:v>0</x:v>
      </x:c>
      <x:c r="K6" s="81" t="n">
        <x:f>SUMIFS($E$6:$E$90,$A$6:$A$90,I6)</x:f>
        <x:v>0</x:v>
      </x:c>
      <x:c r="L6" s="81" t="str">
        <x:f>IF(J6=0,"",MAXIFS($E$6:$E$90,$A$6:$A$90,I6))</x:f>
      </x:c>
    </x:row>
    <x:row r="7">
      <x:c r="A7" s="29" t="str">
        <x:v>A</x:v>
      </x:c>
      <x:c r="B7" s="17"/>
      <x:c r="C7" s="17"/>
      <x:c r="D7" s="51" t="n">
        <x:v>2</x:v>
      </x:c>
      <x:c r="E7" s="61"/>
      <x:c r="F7" s="71" t="str">
        <x:f>IF(OR(A7="",B7="",E7=""),"",COUNTIFS($A$6:$A$90,A7,$E$6:$E$90,"&gt;"&amp;E7)+1)</x:f>
      </x:c>
      <x:c r="G7" s="71" t="str">
        <x:f>IF(F7="","",F7)</x:f>
      </x:c>
      <x:c r="H7" s="1"/>
      <x:c r="I7" s="80" t="str">
        <x:v>D</x:v>
      </x:c>
      <x:c r="J7" s="81" t="n">
        <x:f>COUNTIFS($A$6:$A$90,I7,$B$6:$B$90,"&lt;&gt;")</x:f>
        <x:v>0</x:v>
      </x:c>
      <x:c r="K7" s="81" t="n">
        <x:f>SUMIFS($E$6:$E$90,$A$6:$A$90,I7)</x:f>
        <x:v>0</x:v>
      </x:c>
      <x:c r="L7" s="81" t="str">
        <x:f>IF(J7=0,"",MAXIFS($E$6:$E$90,$A$6:$A$90,I7))</x:f>
      </x:c>
    </x:row>
    <x:row r="8">
      <x:c r="A8" s="29" t="str">
        <x:v>A</x:v>
      </x:c>
      <x:c r="B8" s="17"/>
      <x:c r="C8" s="17"/>
      <x:c r="D8" s="51" t="n">
        <x:v>3</x:v>
      </x:c>
      <x:c r="E8" s="61"/>
      <x:c r="F8" s="71" t="str">
        <x:f>IF(OR(A8="",B8="",E8=""),"",COUNTIFS($A$6:$A$90,A8,$E$6:$E$90,"&gt;"&amp;E8)+1)</x:f>
      </x:c>
      <x:c r="G8" s="71" t="str">
        <x:f>IF(F8="","",F8)</x:f>
      </x:c>
      <x:c r="H8" s="1"/>
      <x:c r="I8" s="80" t="str">
        <x:v>E</x:v>
      </x:c>
      <x:c r="J8" s="81" t="n">
        <x:f>COUNTIFS($A$6:$A$90,I8,$B$6:$B$90,"&lt;&gt;")</x:f>
        <x:v>0</x:v>
      </x:c>
      <x:c r="K8" s="81" t="n">
        <x:f>SUMIFS($E$6:$E$90,$A$6:$A$90,I8)</x:f>
        <x:v>0</x:v>
      </x:c>
      <x:c r="L8" s="81" t="str">
        <x:f>IF(J8=0,"",MAXIFS($E$6:$E$90,$A$6:$A$90,I8))</x:f>
      </x:c>
    </x:row>
    <x:row r="9">
      <x:c r="A9" s="29" t="str">
        <x:v>A</x:v>
      </x:c>
      <x:c r="B9" s="17"/>
      <x:c r="C9" s="17"/>
      <x:c r="D9" s="51" t="n">
        <x:v>4</x:v>
      </x:c>
      <x:c r="E9" s="61"/>
      <x:c r="F9" s="71" t="str">
        <x:f>IF(OR(A9="",B9="",E9=""),"",COUNTIFS($A$6:$A$90,A9,$E$6:$E$90,"&gt;"&amp;E9)+1)</x:f>
      </x:c>
      <x:c r="G9" s="71" t="str">
        <x:f>IF(F9="","",F9)</x:f>
      </x:c>
      <x:c r="H9" s="1"/>
      <x:c r="I9" s="1"/>
      <x:c r="J9" s="1"/>
      <x:c r="K9" s="1"/>
      <x:c r="L9" s="1"/>
    </x:row>
    <x:row r="10">
      <x:c r="A10" s="29" t="str">
        <x:v>A</x:v>
      </x:c>
      <x:c r="B10" s="17"/>
      <x:c r="C10" s="17"/>
      <x:c r="D10" s="51" t="n">
        <x:v>5</x:v>
      </x:c>
      <x:c r="E10" s="61"/>
      <x:c r="F10" s="71" t="str">
        <x:f>IF(OR(A10="",B10="",E10=""),"",COUNTIFS($A$6:$A$90,A10,$E$6:$E$90,"&gt;"&amp;E10)+1)</x:f>
      </x:c>
      <x:c r="G10" s="71" t="str">
        <x:f>IF(F10="","",F10)</x:f>
      </x:c>
      <x:c r="H10" s="1"/>
      <x:c r="I10" s="1"/>
      <x:c r="J10" s="1"/>
      <x:c r="K10" s="1"/>
      <x:c r="L10" s="1"/>
    </x:row>
    <x:row r="11">
      <x:c r="A11" s="29" t="str">
        <x:v>A</x:v>
      </x:c>
      <x:c r="B11" s="17"/>
      <x:c r="C11" s="17"/>
      <x:c r="D11" s="51" t="n">
        <x:v>6</x:v>
      </x:c>
      <x:c r="E11" s="61"/>
      <x:c r="F11" s="71" t="str">
        <x:f>IF(OR(A11="",B11="",E11=""),"",COUNTIFS($A$6:$A$90,A11,$E$6:$E$90,"&gt;"&amp;E11)+1)</x:f>
      </x:c>
      <x:c r="G11" s="71" t="str">
        <x:f>IF(F11="","",F11)</x:f>
      </x:c>
      <x:c r="H11" s="1"/>
      <x:c r="I11" s="1"/>
      <x:c r="J11" s="1"/>
      <x:c r="K11" s="1"/>
      <x:c r="L11" s="1"/>
    </x:row>
    <x:row r="12">
      <x:c r="A12" s="29" t="str">
        <x:v>A</x:v>
      </x:c>
      <x:c r="B12" s="17"/>
      <x:c r="C12" s="17"/>
      <x:c r="D12" s="51" t="n">
        <x:v>7</x:v>
      </x:c>
      <x:c r="E12" s="61"/>
      <x:c r="F12" s="71" t="str">
        <x:f>IF(OR(A12="",B12="",E12=""),"",COUNTIFS($A$6:$A$90,A12,$E$6:$E$90,"&gt;"&amp;E12)+1)</x:f>
      </x:c>
      <x:c r="G12" s="71" t="str">
        <x:f>IF(F12="","",F12)</x:f>
      </x:c>
      <x:c r="H12" s="1"/>
      <x:c r="I12" s="1"/>
      <x:c r="J12" s="1"/>
      <x:c r="K12" s="1"/>
      <x:c r="L12" s="1"/>
    </x:row>
    <x:row r="13">
      <x:c r="A13" s="29" t="str">
        <x:v>A</x:v>
      </x:c>
      <x:c r="B13" s="17"/>
      <x:c r="C13" s="17"/>
      <x:c r="D13" s="51" t="n">
        <x:v>8</x:v>
      </x:c>
      <x:c r="E13" s="61"/>
      <x:c r="F13" s="71" t="str">
        <x:f>IF(OR(A13="",B13="",E13=""),"",COUNTIFS($A$6:$A$90,A13,$E$6:$E$90,"&gt;"&amp;E13)+1)</x:f>
      </x:c>
      <x:c r="G13" s="71" t="str">
        <x:f>IF(F13="","",F13)</x:f>
      </x:c>
      <x:c r="H13" s="1"/>
      <x:c r="I13" s="1"/>
      <x:c r="J13" s="1"/>
      <x:c r="K13" s="1"/>
      <x:c r="L13" s="1"/>
    </x:row>
    <x:row r="14">
      <x:c r="A14" s="29" t="str">
        <x:v>A</x:v>
      </x:c>
      <x:c r="B14" s="17"/>
      <x:c r="C14" s="17"/>
      <x:c r="D14" s="51" t="n">
        <x:v>9</x:v>
      </x:c>
      <x:c r="E14" s="61"/>
      <x:c r="F14" s="71" t="str">
        <x:f>IF(OR(A14="",B14="",E14=""),"",COUNTIFS($A$6:$A$90,A14,$E$6:$E$90,"&gt;"&amp;E14)+1)</x:f>
      </x:c>
      <x:c r="G14" s="71" t="str">
        <x:f>IF(F14="","",F14)</x:f>
      </x:c>
      <x:c r="H14" s="1"/>
      <x:c r="I14" s="1"/>
      <x:c r="J14" s="1"/>
      <x:c r="K14" s="1"/>
      <x:c r="L14" s="1"/>
    </x:row>
    <x:row r="15">
      <x:c r="A15" s="29" t="str">
        <x:v>A</x:v>
      </x:c>
      <x:c r="B15" s="17"/>
      <x:c r="C15" s="17"/>
      <x:c r="D15" s="51" t="n">
        <x:v>10</x:v>
      </x:c>
      <x:c r="E15" s="61"/>
      <x:c r="F15" s="71" t="str">
        <x:f>IF(OR(A15="",B15="",E15=""),"",COUNTIFS($A$6:$A$90,A15,$E$6:$E$90,"&gt;"&amp;E15)+1)</x:f>
      </x:c>
      <x:c r="G15" s="71" t="str">
        <x:f>IF(F15="","",F15)</x:f>
      </x:c>
      <x:c r="H15" s="1"/>
      <x:c r="I15" s="1"/>
      <x:c r="J15" s="1"/>
      <x:c r="K15" s="1"/>
      <x:c r="L15" s="1"/>
    </x:row>
    <x:row r="16">
      <x:c r="A16" s="29" t="str">
        <x:v>A</x:v>
      </x:c>
      <x:c r="B16" s="17"/>
      <x:c r="C16" s="17"/>
      <x:c r="D16" s="51" t="n">
        <x:v>11</x:v>
      </x:c>
      <x:c r="E16" s="61"/>
      <x:c r="F16" s="71" t="str">
        <x:f>IF(OR(A16="",B16="",E16=""),"",COUNTIFS($A$6:$A$90,A16,$E$6:$E$90,"&gt;"&amp;E16)+1)</x:f>
      </x:c>
      <x:c r="G16" s="71" t="str">
        <x:f>IF(F16="","",F16)</x:f>
      </x:c>
      <x:c r="H16" s="1"/>
      <x:c r="I16" s="1"/>
      <x:c r="J16" s="1"/>
      <x:c r="K16" s="1"/>
      <x:c r="L16" s="1"/>
    </x:row>
    <x:row r="17">
      <x:c r="A17" s="29" t="str">
        <x:v>A</x:v>
      </x:c>
      <x:c r="B17" s="17"/>
      <x:c r="C17" s="17"/>
      <x:c r="D17" s="51" t="n">
        <x:v>12</x:v>
      </x:c>
      <x:c r="E17" s="61"/>
      <x:c r="F17" s="71" t="str">
        <x:f>IF(OR(A17="",B17="",E17=""),"",COUNTIFS($A$6:$A$90,A17,$E$6:$E$90,"&gt;"&amp;E17)+1)</x:f>
      </x:c>
      <x:c r="G17" s="71" t="str">
        <x:f>IF(F17="","",F17)</x:f>
      </x:c>
      <x:c r="H17" s="1"/>
      <x:c r="I17" s="1"/>
      <x:c r="J17" s="1"/>
      <x:c r="K17" s="1"/>
      <x:c r="L17" s="1"/>
    </x:row>
    <x:row r="18">
      <x:c r="A18" s="29" t="str">
        <x:v>A</x:v>
      </x:c>
      <x:c r="B18" s="17"/>
      <x:c r="C18" s="17"/>
      <x:c r="D18" s="51" t="n">
        <x:v>13</x:v>
      </x:c>
      <x:c r="E18" s="61"/>
      <x:c r="F18" s="71" t="str">
        <x:f>IF(OR(A18="",B18="",E18=""),"",COUNTIFS($A$6:$A$90,A18,$E$6:$E$90,"&gt;"&amp;E18)+1)</x:f>
      </x:c>
      <x:c r="G18" s="71" t="str">
        <x:f>IF(F18="","",F18)</x:f>
      </x:c>
      <x:c r="H18" s="1"/>
      <x:c r="I18" s="1"/>
      <x:c r="J18" s="1"/>
      <x:c r="K18" s="1"/>
      <x:c r="L18" s="1"/>
    </x:row>
    <x:row r="19">
      <x:c r="A19" s="29" t="str">
        <x:v>A</x:v>
      </x:c>
      <x:c r="B19" s="17"/>
      <x:c r="C19" s="17"/>
      <x:c r="D19" s="51" t="n">
        <x:v>14</x:v>
      </x:c>
      <x:c r="E19" s="61"/>
      <x:c r="F19" s="71" t="str">
        <x:f>IF(OR(A19="",B19="",E19=""),"",COUNTIFS($A$6:$A$90,A19,$E$6:$E$90,"&gt;"&amp;E19)+1)</x:f>
      </x:c>
      <x:c r="G19" s="71" t="str">
        <x:f>IF(F19="","",F19)</x:f>
      </x:c>
      <x:c r="H19" s="1"/>
      <x:c r="I19" s="1"/>
      <x:c r="J19" s="1"/>
      <x:c r="K19" s="1"/>
      <x:c r="L19" s="1"/>
    </x:row>
    <x:row r="20">
      <x:c r="A20" s="29" t="str">
        <x:v>A</x:v>
      </x:c>
      <x:c r="B20" s="17"/>
      <x:c r="C20" s="17"/>
      <x:c r="D20" s="51" t="n">
        <x:v>15</x:v>
      </x:c>
      <x:c r="E20" s="61"/>
      <x:c r="F20" s="71" t="str">
        <x:f>IF(OR(A20="",B20="",E20=""),"",COUNTIFS($A$6:$A$90,A20,$E$6:$E$90,"&gt;"&amp;E20)+1)</x:f>
      </x:c>
      <x:c r="G20" s="71" t="str">
        <x:f>IF(F20="","",F20)</x:f>
      </x:c>
      <x:c r="H20" s="1"/>
      <x:c r="I20" s="1"/>
      <x:c r="J20" s="1"/>
      <x:c r="K20" s="1"/>
      <x:c r="L20" s="1"/>
    </x:row>
    <x:row r="21">
      <x:c r="A21" s="29" t="str">
        <x:v>A</x:v>
      </x:c>
      <x:c r="B21" s="17"/>
      <x:c r="C21" s="17"/>
      <x:c r="D21" s="51" t="n">
        <x:v>16</x:v>
      </x:c>
      <x:c r="E21" s="61"/>
      <x:c r="F21" s="71" t="str">
        <x:f>IF(OR(A21="",B21="",E21=""),"",COUNTIFS($A$6:$A$90,A21,$E$6:$E$90,"&gt;"&amp;E21)+1)</x:f>
      </x:c>
      <x:c r="G21" s="71" t="str">
        <x:f>IF(F21="","",F21)</x:f>
      </x:c>
      <x:c r="H21" s="1"/>
      <x:c r="I21" s="1"/>
      <x:c r="J21" s="1"/>
      <x:c r="K21" s="1"/>
      <x:c r="L21" s="1"/>
    </x:row>
    <x:row r="22">
      <x:c r="A22" s="29" t="str">
        <x:v>A</x:v>
      </x:c>
      <x:c r="B22" s="17"/>
      <x:c r="C22" s="17"/>
      <x:c r="D22" s="51" t="n">
        <x:v>17</x:v>
      </x:c>
      <x:c r="E22" s="61"/>
      <x:c r="F22" s="71" t="str">
        <x:f>IF(OR(A22="",B22="",E22=""),"",COUNTIFS($A$6:$A$90,A22,$E$6:$E$90,"&gt;"&amp;E22)+1)</x:f>
      </x:c>
      <x:c r="G22" s="71" t="str">
        <x:f>IF(F22="","",F22)</x:f>
      </x:c>
      <x:c r="H22" s="1"/>
      <x:c r="I22" s="1"/>
      <x:c r="J22" s="1"/>
      <x:c r="K22" s="1"/>
      <x:c r="L22" s="1"/>
    </x:row>
    <x:row r="23">
      <x:c r="A23" s="30" t="str">
        <x:v>B</x:v>
      </x:c>
      <x:c r="B23" s="24"/>
      <x:c r="C23" s="24"/>
      <x:c r="D23" s="52" t="n">
        <x:v>1</x:v>
      </x:c>
      <x:c r="E23" s="62"/>
      <x:c r="F23" s="70" t="str">
        <x:f>IF(OR(A23="",B23="",E23=""),"",COUNTIFS($A$6:$A$90,A23,$E$6:$E$90,"&gt;"&amp;E23)+1)</x:f>
      </x:c>
      <x:c r="G23" s="70" t="str">
        <x:f>IF(F23="","",F23)</x:f>
      </x:c>
      <x:c r="H23" s="1"/>
      <x:c r="I23" s="1"/>
      <x:c r="J23" s="1"/>
      <x:c r="K23" s="1"/>
      <x:c r="L23" s="1"/>
    </x:row>
    <x:row r="24">
      <x:c r="A24" s="31" t="str">
        <x:v>B</x:v>
      </x:c>
      <x:c r="B24" s="18"/>
      <x:c r="C24" s="18"/>
      <x:c r="D24" s="53" t="n">
        <x:v>2</x:v>
      </x:c>
      <x:c r="E24" s="63"/>
      <x:c r="F24" s="71" t="str">
        <x:f>IF(OR(A24="",B24="",E24=""),"",COUNTIFS($A$6:$A$90,A24,$E$6:$E$90,"&gt;"&amp;E24)+1)</x:f>
      </x:c>
      <x:c r="G24" s="71" t="str">
        <x:f>IF(F24="","",F24)</x:f>
      </x:c>
      <x:c r="H24" s="1"/>
      <x:c r="I24" s="1"/>
      <x:c r="J24" s="1"/>
      <x:c r="K24" s="1"/>
      <x:c r="L24" s="1"/>
    </x:row>
    <x:row r="25">
      <x:c r="A25" s="31" t="str">
        <x:v>B</x:v>
      </x:c>
      <x:c r="B25" s="18"/>
      <x:c r="C25" s="18"/>
      <x:c r="D25" s="53" t="n">
        <x:v>3</x:v>
      </x:c>
      <x:c r="E25" s="63"/>
      <x:c r="F25" s="71" t="str">
        <x:f>IF(OR(A25="",B25="",E25=""),"",COUNTIFS($A$6:$A$90,A25,$E$6:$E$90,"&gt;"&amp;E25)+1)</x:f>
      </x:c>
      <x:c r="G25" s="71" t="str">
        <x:f>IF(F25="","",F25)</x:f>
      </x:c>
      <x:c r="H25" s="1"/>
      <x:c r="I25" s="1"/>
      <x:c r="J25" s="1"/>
      <x:c r="K25" s="1"/>
      <x:c r="L25" s="1"/>
    </x:row>
    <x:row r="26">
      <x:c r="A26" s="31" t="str">
        <x:v>B</x:v>
      </x:c>
      <x:c r="B26" s="18"/>
      <x:c r="C26" s="18"/>
      <x:c r="D26" s="53" t="n">
        <x:v>4</x:v>
      </x:c>
      <x:c r="E26" s="63"/>
      <x:c r="F26" s="71" t="str">
        <x:f>IF(OR(A26="",B26="",E26=""),"",COUNTIFS($A$6:$A$90,A26,$E$6:$E$90,"&gt;"&amp;E26)+1)</x:f>
      </x:c>
      <x:c r="G26" s="71" t="str">
        <x:f>IF(F26="","",F26)</x:f>
      </x:c>
      <x:c r="H26" s="1"/>
      <x:c r="I26" s="1"/>
      <x:c r="J26" s="1"/>
      <x:c r="K26" s="1"/>
      <x:c r="L26" s="1"/>
    </x:row>
    <x:row r="27">
      <x:c r="A27" s="31" t="str">
        <x:v>B</x:v>
      </x:c>
      <x:c r="B27" s="18"/>
      <x:c r="C27" s="18"/>
      <x:c r="D27" s="53" t="n">
        <x:v>5</x:v>
      </x:c>
      <x:c r="E27" s="63"/>
      <x:c r="F27" s="71" t="str">
        <x:f>IF(OR(A27="",B27="",E27=""),"",COUNTIFS($A$6:$A$90,A27,$E$6:$E$90,"&gt;"&amp;E27)+1)</x:f>
      </x:c>
      <x:c r="G27" s="71" t="str">
        <x:f>IF(F27="","",F27)</x:f>
      </x:c>
      <x:c r="H27" s="1"/>
      <x:c r="I27" s="1"/>
      <x:c r="J27" s="1"/>
      <x:c r="K27" s="1"/>
      <x:c r="L27" s="1"/>
    </x:row>
    <x:row r="28">
      <x:c r="A28" s="31" t="str">
        <x:v>B</x:v>
      </x:c>
      <x:c r="B28" s="18"/>
      <x:c r="C28" s="18"/>
      <x:c r="D28" s="53" t="n">
        <x:v>6</x:v>
      </x:c>
      <x:c r="E28" s="63"/>
      <x:c r="F28" s="71" t="str">
        <x:f>IF(OR(A28="",B28="",E28=""),"",COUNTIFS($A$6:$A$90,A28,$E$6:$E$90,"&gt;"&amp;E28)+1)</x:f>
      </x:c>
      <x:c r="G28" s="71" t="str">
        <x:f>IF(F28="","",F28)</x:f>
      </x:c>
      <x:c r="H28" s="1"/>
      <x:c r="I28" s="1"/>
      <x:c r="J28" s="1"/>
      <x:c r="K28" s="1"/>
      <x:c r="L28" s="1"/>
    </x:row>
    <x:row r="29">
      <x:c r="A29" s="31" t="str">
        <x:v>B</x:v>
      </x:c>
      <x:c r="B29" s="18"/>
      <x:c r="C29" s="18"/>
      <x:c r="D29" s="53" t="n">
        <x:v>7</x:v>
      </x:c>
      <x:c r="E29" s="63"/>
      <x:c r="F29" s="71" t="str">
        <x:f>IF(OR(A29="",B29="",E29=""),"",COUNTIFS($A$6:$A$90,A29,$E$6:$E$90,"&gt;"&amp;E29)+1)</x:f>
      </x:c>
      <x:c r="G29" s="71" t="str">
        <x:f>IF(F29="","",F29)</x:f>
      </x:c>
      <x:c r="H29" s="1"/>
      <x:c r="I29" s="1"/>
      <x:c r="J29" s="1"/>
      <x:c r="K29" s="1"/>
      <x:c r="L29" s="1"/>
    </x:row>
    <x:row r="30">
      <x:c r="A30" s="31" t="str">
        <x:v>B</x:v>
      </x:c>
      <x:c r="B30" s="18"/>
      <x:c r="C30" s="18"/>
      <x:c r="D30" s="53" t="n">
        <x:v>8</x:v>
      </x:c>
      <x:c r="E30" s="63"/>
      <x:c r="F30" s="71" t="str">
        <x:f>IF(OR(A30="",B30="",E30=""),"",COUNTIFS($A$6:$A$90,A30,$E$6:$E$90,"&gt;"&amp;E30)+1)</x:f>
      </x:c>
      <x:c r="G30" s="71" t="str">
        <x:f>IF(F30="","",F30)</x:f>
      </x:c>
      <x:c r="H30" s="1"/>
      <x:c r="I30" s="1"/>
      <x:c r="J30" s="1"/>
      <x:c r="K30" s="1"/>
      <x:c r="L30" s="1"/>
    </x:row>
    <x:row r="31">
      <x:c r="A31" s="31" t="str">
        <x:v>B</x:v>
      </x:c>
      <x:c r="B31" s="18"/>
      <x:c r="C31" s="18"/>
      <x:c r="D31" s="53" t="n">
        <x:v>9</x:v>
      </x:c>
      <x:c r="E31" s="63"/>
      <x:c r="F31" s="71" t="str">
        <x:f>IF(OR(A31="",B31="",E31=""),"",COUNTIFS($A$6:$A$90,A31,$E$6:$E$90,"&gt;"&amp;E31)+1)</x:f>
      </x:c>
      <x:c r="G31" s="71" t="str">
        <x:f>IF(F31="","",F31)</x:f>
      </x:c>
      <x:c r="H31" s="1"/>
      <x:c r="I31" s="1"/>
      <x:c r="J31" s="1"/>
      <x:c r="K31" s="1"/>
      <x:c r="L31" s="1"/>
    </x:row>
    <x:row r="32">
      <x:c r="A32" s="31" t="str">
        <x:v>B</x:v>
      </x:c>
      <x:c r="B32" s="18"/>
      <x:c r="C32" s="18"/>
      <x:c r="D32" s="53" t="n">
        <x:v>10</x:v>
      </x:c>
      <x:c r="E32" s="63"/>
      <x:c r="F32" s="71" t="str">
        <x:f>IF(OR(A32="",B32="",E32=""),"",COUNTIFS($A$6:$A$90,A32,$E$6:$E$90,"&gt;"&amp;E32)+1)</x:f>
      </x:c>
      <x:c r="G32" s="71" t="str">
        <x:f>IF(F32="","",F32)</x:f>
      </x:c>
      <x:c r="H32" s="1"/>
      <x:c r="I32" s="1"/>
      <x:c r="J32" s="1"/>
      <x:c r="K32" s="1"/>
      <x:c r="L32" s="1"/>
    </x:row>
    <x:row r="33">
      <x:c r="A33" s="31" t="str">
        <x:v>B</x:v>
      </x:c>
      <x:c r="B33" s="18"/>
      <x:c r="C33" s="18"/>
      <x:c r="D33" s="53" t="n">
        <x:v>11</x:v>
      </x:c>
      <x:c r="E33" s="63"/>
      <x:c r="F33" s="71" t="str">
        <x:f>IF(OR(A33="",B33="",E33=""),"",COUNTIFS($A$6:$A$90,A33,$E$6:$E$90,"&gt;"&amp;E33)+1)</x:f>
      </x:c>
      <x:c r="G33" s="71" t="str">
        <x:f>IF(F33="","",F33)</x:f>
      </x:c>
      <x:c r="H33" s="1"/>
      <x:c r="I33" s="1"/>
      <x:c r="J33" s="1"/>
      <x:c r="K33" s="1"/>
      <x:c r="L33" s="1"/>
    </x:row>
    <x:row r="34">
      <x:c r="A34" s="31" t="str">
        <x:v>B</x:v>
      </x:c>
      <x:c r="B34" s="18"/>
      <x:c r="C34" s="18"/>
      <x:c r="D34" s="53" t="n">
        <x:v>12</x:v>
      </x:c>
      <x:c r="E34" s="63"/>
      <x:c r="F34" s="71" t="str">
        <x:f>IF(OR(A34="",B34="",E34=""),"",COUNTIFS($A$6:$A$90,A34,$E$6:$E$90,"&gt;"&amp;E34)+1)</x:f>
      </x:c>
      <x:c r="G34" s="71" t="str">
        <x:f>IF(F34="","",F34)</x:f>
      </x:c>
      <x:c r="H34" s="1"/>
      <x:c r="I34" s="1"/>
      <x:c r="J34" s="1"/>
      <x:c r="K34" s="1"/>
      <x:c r="L34" s="1"/>
    </x:row>
    <x:row r="35">
      <x:c r="A35" s="31" t="str">
        <x:v>B</x:v>
      </x:c>
      <x:c r="B35" s="18"/>
      <x:c r="C35" s="18"/>
      <x:c r="D35" s="53" t="n">
        <x:v>13</x:v>
      </x:c>
      <x:c r="E35" s="63"/>
      <x:c r="F35" s="71" t="str">
        <x:f>IF(OR(A35="",B35="",E35=""),"",COUNTIFS($A$6:$A$90,A35,$E$6:$E$90,"&gt;"&amp;E35)+1)</x:f>
      </x:c>
      <x:c r="G35" s="71" t="str">
        <x:f>IF(F35="","",F35)</x:f>
      </x:c>
      <x:c r="H35" s="1"/>
      <x:c r="I35" s="1"/>
      <x:c r="J35" s="1"/>
      <x:c r="K35" s="1"/>
      <x:c r="L35" s="1"/>
    </x:row>
    <x:row r="36">
      <x:c r="A36" s="31" t="str">
        <x:v>B</x:v>
      </x:c>
      <x:c r="B36" s="18"/>
      <x:c r="C36" s="18"/>
      <x:c r="D36" s="53" t="n">
        <x:v>14</x:v>
      </x:c>
      <x:c r="E36" s="63"/>
      <x:c r="F36" s="71" t="str">
        <x:f>IF(OR(A36="",B36="",E36=""),"",COUNTIFS($A$6:$A$90,A36,$E$6:$E$90,"&gt;"&amp;E36)+1)</x:f>
      </x:c>
      <x:c r="G36" s="71" t="str">
        <x:f>IF(F36="","",F36)</x:f>
      </x:c>
      <x:c r="H36" s="1"/>
      <x:c r="I36" s="1"/>
      <x:c r="J36" s="1"/>
      <x:c r="K36" s="1"/>
      <x:c r="L36" s="1"/>
    </x:row>
    <x:row r="37">
      <x:c r="A37" s="31" t="str">
        <x:v>B</x:v>
      </x:c>
      <x:c r="B37" s="18"/>
      <x:c r="C37" s="18"/>
      <x:c r="D37" s="53" t="n">
        <x:v>15</x:v>
      </x:c>
      <x:c r="E37" s="63"/>
      <x:c r="F37" s="71" t="str">
        <x:f>IF(OR(A37="",B37="",E37=""),"",COUNTIFS($A$6:$A$90,A37,$E$6:$E$90,"&gt;"&amp;E37)+1)</x:f>
      </x:c>
      <x:c r="G37" s="71" t="str">
        <x:f>IF(F37="","",F37)</x:f>
      </x:c>
      <x:c r="H37" s="1"/>
      <x:c r="I37" s="1"/>
      <x:c r="J37" s="1"/>
      <x:c r="K37" s="1"/>
      <x:c r="L37" s="1"/>
    </x:row>
    <x:row r="38">
      <x:c r="A38" s="31" t="str">
        <x:v>B</x:v>
      </x:c>
      <x:c r="B38" s="18"/>
      <x:c r="C38" s="18"/>
      <x:c r="D38" s="53" t="n">
        <x:v>16</x:v>
      </x:c>
      <x:c r="E38" s="63"/>
      <x:c r="F38" s="71" t="str">
        <x:f>IF(OR(A38="",B38="",E38=""),"",COUNTIFS($A$6:$A$90,A38,$E$6:$E$90,"&gt;"&amp;E38)+1)</x:f>
      </x:c>
      <x:c r="G38" s="71" t="str">
        <x:f>IF(F38="","",F38)</x:f>
      </x:c>
      <x:c r="H38" s="1"/>
      <x:c r="I38" s="1"/>
      <x:c r="J38" s="1"/>
      <x:c r="K38" s="1"/>
      <x:c r="L38" s="1"/>
    </x:row>
    <x:row r="39">
      <x:c r="A39" s="31" t="str">
        <x:v>B</x:v>
      </x:c>
      <x:c r="B39" s="18"/>
      <x:c r="C39" s="18"/>
      <x:c r="D39" s="53" t="n">
        <x:v>17</x:v>
      </x:c>
      <x:c r="E39" s="63"/>
      <x:c r="F39" s="71" t="str">
        <x:f>IF(OR(A39="",B39="",E39=""),"",COUNTIFS($A$6:$A$90,A39,$E$6:$E$90,"&gt;"&amp;E39)+1)</x:f>
      </x:c>
      <x:c r="G39" s="71" t="str">
        <x:f>IF(F39="","",F39)</x:f>
      </x:c>
      <x:c r="H39" s="1"/>
      <x:c r="I39" s="1"/>
      <x:c r="J39" s="1"/>
      <x:c r="K39" s="1"/>
      <x:c r="L39" s="1"/>
    </x:row>
    <x:row r="40">
      <x:c r="A40" s="32" t="str">
        <x:v>C</x:v>
      </x:c>
      <x:c r="B40" s="25"/>
      <x:c r="C40" s="25"/>
      <x:c r="D40" s="54" t="n">
        <x:v>1</x:v>
      </x:c>
      <x:c r="E40" s="64"/>
      <x:c r="F40" s="70" t="str">
        <x:f>IF(OR(A40="",B40="",E40=""),"",COUNTIFS($A$6:$A$90,A40,$E$6:$E$90,"&gt;"&amp;E40)+1)</x:f>
      </x:c>
      <x:c r="G40" s="70" t="str">
        <x:f>IF(F40="","",F40)</x:f>
      </x:c>
      <x:c r="H40" s="1"/>
      <x:c r="I40" s="1"/>
      <x:c r="J40" s="1"/>
      <x:c r="K40" s="1"/>
      <x:c r="L40" s="1"/>
    </x:row>
    <x:row r="41">
      <x:c r="A41" s="33" t="str">
        <x:v>C</x:v>
      </x:c>
      <x:c r="B41" s="19"/>
      <x:c r="C41" s="19"/>
      <x:c r="D41" s="55" t="n">
        <x:v>2</x:v>
      </x:c>
      <x:c r="E41" s="65"/>
      <x:c r="F41" s="71" t="str">
        <x:f>IF(OR(A41="",B41="",E41=""),"",COUNTIFS($A$6:$A$90,A41,$E$6:$E$90,"&gt;"&amp;E41)+1)</x:f>
      </x:c>
      <x:c r="G41" s="71" t="str">
        <x:f>IF(F41="","",F41)</x:f>
      </x:c>
      <x:c r="H41" s="1"/>
      <x:c r="I41" s="1"/>
      <x:c r="J41" s="1"/>
      <x:c r="K41" s="1"/>
      <x:c r="L41" s="1"/>
    </x:row>
    <x:row r="42">
      <x:c r="A42" s="33" t="str">
        <x:v>C</x:v>
      </x:c>
      <x:c r="B42" s="19"/>
      <x:c r="C42" s="19"/>
      <x:c r="D42" s="55" t="n">
        <x:v>3</x:v>
      </x:c>
      <x:c r="E42" s="65"/>
      <x:c r="F42" s="71" t="str">
        <x:f>IF(OR(A42="",B42="",E42=""),"",COUNTIFS($A$6:$A$90,A42,$E$6:$E$90,"&gt;"&amp;E42)+1)</x:f>
      </x:c>
      <x:c r="G42" s="71" t="str">
        <x:f>IF(F42="","",F42)</x:f>
      </x:c>
      <x:c r="H42" s="1"/>
      <x:c r="I42" s="1"/>
      <x:c r="J42" s="1"/>
      <x:c r="K42" s="1"/>
      <x:c r="L42" s="1"/>
    </x:row>
    <x:row r="43">
      <x:c r="A43" s="33" t="str">
        <x:v>C</x:v>
      </x:c>
      <x:c r="B43" s="19"/>
      <x:c r="C43" s="19"/>
      <x:c r="D43" s="55" t="n">
        <x:v>4</x:v>
      </x:c>
      <x:c r="E43" s="65"/>
      <x:c r="F43" s="71" t="str">
        <x:f>IF(OR(A43="",B43="",E43=""),"",COUNTIFS($A$6:$A$90,A43,$E$6:$E$90,"&gt;"&amp;E43)+1)</x:f>
      </x:c>
      <x:c r="G43" s="71" t="str">
        <x:f>IF(F43="","",F43)</x:f>
      </x:c>
      <x:c r="H43" s="1"/>
      <x:c r="I43" s="1"/>
      <x:c r="J43" s="1"/>
      <x:c r="K43" s="1"/>
      <x:c r="L43" s="1"/>
    </x:row>
    <x:row r="44">
      <x:c r="A44" s="33" t="str">
        <x:v>C</x:v>
      </x:c>
      <x:c r="B44" s="19"/>
      <x:c r="C44" s="19"/>
      <x:c r="D44" s="55" t="n">
        <x:v>5</x:v>
      </x:c>
      <x:c r="E44" s="65"/>
      <x:c r="F44" s="71" t="str">
        <x:f>IF(OR(A44="",B44="",E44=""),"",COUNTIFS($A$6:$A$90,A44,$E$6:$E$90,"&gt;"&amp;E44)+1)</x:f>
      </x:c>
      <x:c r="G44" s="71" t="str">
        <x:f>IF(F44="","",F44)</x:f>
      </x:c>
      <x:c r="H44" s="1"/>
      <x:c r="I44" s="1"/>
      <x:c r="J44" s="1"/>
      <x:c r="K44" s="1"/>
      <x:c r="L44" s="1"/>
    </x:row>
    <x:row r="45">
      <x:c r="A45" s="33" t="str">
        <x:v>C</x:v>
      </x:c>
      <x:c r="B45" s="19"/>
      <x:c r="C45" s="19"/>
      <x:c r="D45" s="55" t="n">
        <x:v>6</x:v>
      </x:c>
      <x:c r="E45" s="65"/>
      <x:c r="F45" s="71" t="str">
        <x:f>IF(OR(A45="",B45="",E45=""),"",COUNTIFS($A$6:$A$90,A45,$E$6:$E$90,"&gt;"&amp;E45)+1)</x:f>
      </x:c>
      <x:c r="G45" s="71" t="str">
        <x:f>IF(F45="","",F45)</x:f>
      </x:c>
      <x:c r="H45" s="1"/>
      <x:c r="I45" s="1"/>
      <x:c r="J45" s="1"/>
      <x:c r="K45" s="1"/>
      <x:c r="L45" s="1"/>
    </x:row>
    <x:row r="46">
      <x:c r="A46" s="33" t="str">
        <x:v>C</x:v>
      </x:c>
      <x:c r="B46" s="19"/>
      <x:c r="C46" s="19"/>
      <x:c r="D46" s="55" t="n">
        <x:v>7</x:v>
      </x:c>
      <x:c r="E46" s="65"/>
      <x:c r="F46" s="71" t="str">
        <x:f>IF(OR(A46="",B46="",E46=""),"",COUNTIFS($A$6:$A$90,A46,$E$6:$E$90,"&gt;"&amp;E46)+1)</x:f>
      </x:c>
      <x:c r="G46" s="71" t="str">
        <x:f>IF(F46="","",F46)</x:f>
      </x:c>
      <x:c r="H46" s="1"/>
      <x:c r="I46" s="1"/>
      <x:c r="J46" s="1"/>
      <x:c r="K46" s="1"/>
      <x:c r="L46" s="1"/>
    </x:row>
    <x:row r="47">
      <x:c r="A47" s="33" t="str">
        <x:v>C</x:v>
      </x:c>
      <x:c r="B47" s="19"/>
      <x:c r="C47" s="19"/>
      <x:c r="D47" s="55" t="n">
        <x:v>8</x:v>
      </x:c>
      <x:c r="E47" s="65"/>
      <x:c r="F47" s="71" t="str">
        <x:f>IF(OR(A47="",B47="",E47=""),"",COUNTIFS($A$6:$A$90,A47,$E$6:$E$90,"&gt;"&amp;E47)+1)</x:f>
      </x:c>
      <x:c r="G47" s="71" t="str">
        <x:f>IF(F47="","",F47)</x:f>
      </x:c>
      <x:c r="H47" s="1"/>
      <x:c r="I47" s="1"/>
      <x:c r="J47" s="1"/>
      <x:c r="K47" s="1"/>
      <x:c r="L47" s="1"/>
    </x:row>
    <x:row r="48">
      <x:c r="A48" s="33" t="str">
        <x:v>C</x:v>
      </x:c>
      <x:c r="B48" s="19"/>
      <x:c r="C48" s="19"/>
      <x:c r="D48" s="55" t="n">
        <x:v>9</x:v>
      </x:c>
      <x:c r="E48" s="65"/>
      <x:c r="F48" s="71" t="str">
        <x:f>IF(OR(A48="",B48="",E48=""),"",COUNTIFS($A$6:$A$90,A48,$E$6:$E$90,"&gt;"&amp;E48)+1)</x:f>
      </x:c>
      <x:c r="G48" s="71" t="str">
        <x:f>IF(F48="","",F48)</x:f>
      </x:c>
      <x:c r="H48" s="1"/>
      <x:c r="I48" s="1"/>
      <x:c r="J48" s="1"/>
      <x:c r="K48" s="1"/>
      <x:c r="L48" s="1"/>
    </x:row>
    <x:row r="49">
      <x:c r="A49" s="33" t="str">
        <x:v>C</x:v>
      </x:c>
      <x:c r="B49" s="19"/>
      <x:c r="C49" s="19"/>
      <x:c r="D49" s="55" t="n">
        <x:v>10</x:v>
      </x:c>
      <x:c r="E49" s="65"/>
      <x:c r="F49" s="71" t="str">
        <x:f>IF(OR(A49="",B49="",E49=""),"",COUNTIFS($A$6:$A$90,A49,$E$6:$E$90,"&gt;"&amp;E49)+1)</x:f>
      </x:c>
      <x:c r="G49" s="71" t="str">
        <x:f>IF(F49="","",F49)</x:f>
      </x:c>
      <x:c r="H49" s="1"/>
      <x:c r="I49" s="1"/>
      <x:c r="J49" s="1"/>
      <x:c r="K49" s="1"/>
      <x:c r="L49" s="1"/>
    </x:row>
    <x:row r="50">
      <x:c r="A50" s="33" t="str">
        <x:v>C</x:v>
      </x:c>
      <x:c r="B50" s="19"/>
      <x:c r="C50" s="19"/>
      <x:c r="D50" s="55" t="n">
        <x:v>11</x:v>
      </x:c>
      <x:c r="E50" s="65"/>
      <x:c r="F50" s="71" t="str">
        <x:f>IF(OR(A50="",B50="",E50=""),"",COUNTIFS($A$6:$A$90,A50,$E$6:$E$90,"&gt;"&amp;E50)+1)</x:f>
      </x:c>
      <x:c r="G50" s="71" t="str">
        <x:f>IF(F50="","",F50)</x:f>
      </x:c>
      <x:c r="H50" s="1"/>
      <x:c r="I50" s="1"/>
      <x:c r="J50" s="1"/>
      <x:c r="K50" s="1"/>
      <x:c r="L50" s="1"/>
    </x:row>
    <x:row r="51">
      <x:c r="A51" s="33" t="str">
        <x:v>C</x:v>
      </x:c>
      <x:c r="B51" s="19"/>
      <x:c r="C51" s="19"/>
      <x:c r="D51" s="55" t="n">
        <x:v>12</x:v>
      </x:c>
      <x:c r="E51" s="65"/>
      <x:c r="F51" s="71" t="str">
        <x:f>IF(OR(A51="",B51="",E51=""),"",COUNTIFS($A$6:$A$90,A51,$E$6:$E$90,"&gt;"&amp;E51)+1)</x:f>
      </x:c>
      <x:c r="G51" s="71" t="str">
        <x:f>IF(F51="","",F51)</x:f>
      </x:c>
      <x:c r="H51" s="1"/>
      <x:c r="I51" s="1"/>
      <x:c r="J51" s="1"/>
      <x:c r="K51" s="1"/>
      <x:c r="L51" s="1"/>
    </x:row>
    <x:row r="52">
      <x:c r="A52" s="33" t="str">
        <x:v>C</x:v>
      </x:c>
      <x:c r="B52" s="19"/>
      <x:c r="C52" s="19"/>
      <x:c r="D52" s="55" t="n">
        <x:v>13</x:v>
      </x:c>
      <x:c r="E52" s="65"/>
      <x:c r="F52" s="71" t="str">
        <x:f>IF(OR(A52="",B52="",E52=""),"",COUNTIFS($A$6:$A$90,A52,$E$6:$E$90,"&gt;"&amp;E52)+1)</x:f>
      </x:c>
      <x:c r="G52" s="71" t="str">
        <x:f>IF(F52="","",F52)</x:f>
      </x:c>
      <x:c r="H52" s="1"/>
      <x:c r="I52" s="1"/>
      <x:c r="J52" s="1"/>
      <x:c r="K52" s="1"/>
      <x:c r="L52" s="1"/>
    </x:row>
    <x:row r="53">
      <x:c r="A53" s="33" t="str">
        <x:v>C</x:v>
      </x:c>
      <x:c r="B53" s="19"/>
      <x:c r="C53" s="19"/>
      <x:c r="D53" s="55" t="n">
        <x:v>14</x:v>
      </x:c>
      <x:c r="E53" s="65"/>
      <x:c r="F53" s="71" t="str">
        <x:f>IF(OR(A53="",B53="",E53=""),"",COUNTIFS($A$6:$A$90,A53,$E$6:$E$90,"&gt;"&amp;E53)+1)</x:f>
      </x:c>
      <x:c r="G53" s="71" t="str">
        <x:f>IF(F53="","",F53)</x:f>
      </x:c>
      <x:c r="H53" s="1"/>
      <x:c r="I53" s="1"/>
      <x:c r="J53" s="1"/>
      <x:c r="K53" s="1"/>
      <x:c r="L53" s="1"/>
    </x:row>
    <x:row r="54">
      <x:c r="A54" s="33" t="str">
        <x:v>C</x:v>
      </x:c>
      <x:c r="B54" s="19"/>
      <x:c r="C54" s="19"/>
      <x:c r="D54" s="55" t="n">
        <x:v>15</x:v>
      </x:c>
      <x:c r="E54" s="65"/>
      <x:c r="F54" s="71" t="str">
        <x:f>IF(OR(A54="",B54="",E54=""),"",COUNTIFS($A$6:$A$90,A54,$E$6:$E$90,"&gt;"&amp;E54)+1)</x:f>
      </x:c>
      <x:c r="G54" s="71" t="str">
        <x:f>IF(F54="","",F54)</x:f>
      </x:c>
      <x:c r="H54" s="1"/>
      <x:c r="I54" s="1"/>
      <x:c r="J54" s="1"/>
      <x:c r="K54" s="1"/>
      <x:c r="L54" s="1"/>
    </x:row>
    <x:row r="55">
      <x:c r="A55" s="33" t="str">
        <x:v>C</x:v>
      </x:c>
      <x:c r="B55" s="19"/>
      <x:c r="C55" s="19"/>
      <x:c r="D55" s="55" t="n">
        <x:v>16</x:v>
      </x:c>
      <x:c r="E55" s="65"/>
      <x:c r="F55" s="71" t="str">
        <x:f>IF(OR(A55="",B55="",E55=""),"",COUNTIFS($A$6:$A$90,A55,$E$6:$E$90,"&gt;"&amp;E55)+1)</x:f>
      </x:c>
      <x:c r="G55" s="71" t="str">
        <x:f>IF(F55="","",F55)</x:f>
      </x:c>
      <x:c r="H55" s="1"/>
      <x:c r="I55" s="1"/>
      <x:c r="J55" s="1"/>
      <x:c r="K55" s="1"/>
      <x:c r="L55" s="1"/>
    </x:row>
    <x:row r="56">
      <x:c r="A56" s="33" t="str">
        <x:v>C</x:v>
      </x:c>
      <x:c r="B56" s="19"/>
      <x:c r="C56" s="19"/>
      <x:c r="D56" s="55" t="n">
        <x:v>17</x:v>
      </x:c>
      <x:c r="E56" s="65"/>
      <x:c r="F56" s="71" t="str">
        <x:f>IF(OR(A56="",B56="",E56=""),"",COUNTIFS($A$6:$A$90,A56,$E$6:$E$90,"&gt;"&amp;E56)+1)</x:f>
      </x:c>
      <x:c r="G56" s="71" t="str">
        <x:f>IF(F56="","",F56)</x:f>
      </x:c>
      <x:c r="H56" s="1"/>
      <x:c r="I56" s="1"/>
      <x:c r="J56" s="1"/>
      <x:c r="K56" s="1"/>
      <x:c r="L56" s="1"/>
    </x:row>
    <x:row r="57">
      <x:c r="A57" s="34" t="str">
        <x:v>D</x:v>
      </x:c>
      <x:c r="B57" s="26"/>
      <x:c r="C57" s="26"/>
      <x:c r="D57" s="56" t="n">
        <x:v>1</x:v>
      </x:c>
      <x:c r="E57" s="66"/>
      <x:c r="F57" s="70" t="str">
        <x:f>IF(OR(A57="",B57="",E57=""),"",COUNTIFS($A$6:$A$90,A57,$E$6:$E$90,"&gt;"&amp;E57)+1)</x:f>
      </x:c>
      <x:c r="G57" s="70" t="str">
        <x:f>IF(F57="","",F57)</x:f>
      </x:c>
      <x:c r="H57" s="1"/>
      <x:c r="I57" s="1"/>
      <x:c r="J57" s="1"/>
      <x:c r="K57" s="1"/>
      <x:c r="L57" s="1"/>
    </x:row>
    <x:row r="58">
      <x:c r="A58" s="35" t="str">
        <x:v>D</x:v>
      </x:c>
      <x:c r="B58" s="20"/>
      <x:c r="C58" s="20"/>
      <x:c r="D58" s="57" t="n">
        <x:v>2</x:v>
      </x:c>
      <x:c r="E58" s="67"/>
      <x:c r="F58" s="71" t="str">
        <x:f>IF(OR(A58="",B58="",E58=""),"",COUNTIFS($A$6:$A$90,A58,$E$6:$E$90,"&gt;"&amp;E58)+1)</x:f>
      </x:c>
      <x:c r="G58" s="71" t="str">
        <x:f>IF(F58="","",F58)</x:f>
      </x:c>
      <x:c r="H58" s="1"/>
      <x:c r="I58" s="1"/>
      <x:c r="J58" s="1"/>
      <x:c r="K58" s="1"/>
      <x:c r="L58" s="1"/>
    </x:row>
    <x:row r="59">
      <x:c r="A59" s="35" t="str">
        <x:v>D</x:v>
      </x:c>
      <x:c r="B59" s="20"/>
      <x:c r="C59" s="20"/>
      <x:c r="D59" s="57" t="n">
        <x:v>3</x:v>
      </x:c>
      <x:c r="E59" s="67"/>
      <x:c r="F59" s="71" t="str">
        <x:f>IF(OR(A59="",B59="",E59=""),"",COUNTIFS($A$6:$A$90,A59,$E$6:$E$90,"&gt;"&amp;E59)+1)</x:f>
      </x:c>
      <x:c r="G59" s="71" t="str">
        <x:f>IF(F59="","",F59)</x:f>
      </x:c>
      <x:c r="H59" s="1"/>
      <x:c r="I59" s="1"/>
      <x:c r="J59" s="1"/>
      <x:c r="K59" s="1"/>
      <x:c r="L59" s="1"/>
    </x:row>
    <x:row r="60">
      <x:c r="A60" s="35" t="str">
        <x:v>D</x:v>
      </x:c>
      <x:c r="B60" s="20"/>
      <x:c r="C60" s="20"/>
      <x:c r="D60" s="57" t="n">
        <x:v>4</x:v>
      </x:c>
      <x:c r="E60" s="67"/>
      <x:c r="F60" s="71" t="str">
        <x:f>IF(OR(A60="",B60="",E60=""),"",COUNTIFS($A$6:$A$90,A60,$E$6:$E$90,"&gt;"&amp;E60)+1)</x:f>
      </x:c>
      <x:c r="G60" s="71" t="str">
        <x:f>IF(F60="","",F60)</x:f>
      </x:c>
      <x:c r="H60" s="1"/>
      <x:c r="I60" s="1"/>
      <x:c r="J60" s="1"/>
      <x:c r="K60" s="1"/>
      <x:c r="L60" s="1"/>
    </x:row>
    <x:row r="61">
      <x:c r="A61" s="35" t="str">
        <x:v>D</x:v>
      </x:c>
      <x:c r="B61" s="20"/>
      <x:c r="C61" s="20"/>
      <x:c r="D61" s="57" t="n">
        <x:v>5</x:v>
      </x:c>
      <x:c r="E61" s="67"/>
      <x:c r="F61" s="71" t="str">
        <x:f>IF(OR(A61="",B61="",E61=""),"",COUNTIFS($A$6:$A$90,A61,$E$6:$E$90,"&gt;"&amp;E61)+1)</x:f>
      </x:c>
      <x:c r="G61" s="71" t="str">
        <x:f>IF(F61="","",F61)</x:f>
      </x:c>
      <x:c r="H61" s="1"/>
      <x:c r="I61" s="1"/>
      <x:c r="J61" s="1"/>
      <x:c r="K61" s="1"/>
      <x:c r="L61" s="1"/>
    </x:row>
    <x:row r="62">
      <x:c r="A62" s="35" t="str">
        <x:v>D</x:v>
      </x:c>
      <x:c r="B62" s="20"/>
      <x:c r="C62" s="20"/>
      <x:c r="D62" s="57" t="n">
        <x:v>6</x:v>
      </x:c>
      <x:c r="E62" s="67"/>
      <x:c r="F62" s="71" t="str">
        <x:f>IF(OR(A62="",B62="",E62=""),"",COUNTIFS($A$6:$A$90,A62,$E$6:$E$90,"&gt;"&amp;E62)+1)</x:f>
      </x:c>
      <x:c r="G62" s="71" t="str">
        <x:f>IF(F62="","",F62)</x:f>
      </x:c>
      <x:c r="H62" s="1"/>
      <x:c r="I62" s="1"/>
      <x:c r="J62" s="1"/>
      <x:c r="K62" s="1"/>
      <x:c r="L62" s="1"/>
    </x:row>
    <x:row r="63">
      <x:c r="A63" s="35" t="str">
        <x:v>D</x:v>
      </x:c>
      <x:c r="B63" s="20"/>
      <x:c r="C63" s="20"/>
      <x:c r="D63" s="57" t="n">
        <x:v>7</x:v>
      </x:c>
      <x:c r="E63" s="67"/>
      <x:c r="F63" s="71" t="str">
        <x:f>IF(OR(A63="",B63="",E63=""),"",COUNTIFS($A$6:$A$90,A63,$E$6:$E$90,"&gt;"&amp;E63)+1)</x:f>
      </x:c>
      <x:c r="G63" s="71" t="str">
        <x:f>IF(F63="","",F63)</x:f>
      </x:c>
      <x:c r="H63" s="1"/>
      <x:c r="I63" s="1"/>
      <x:c r="J63" s="1"/>
      <x:c r="K63" s="1"/>
      <x:c r="L63" s="1"/>
    </x:row>
    <x:row r="64">
      <x:c r="A64" s="35" t="str">
        <x:v>D</x:v>
      </x:c>
      <x:c r="B64" s="20"/>
      <x:c r="C64" s="20"/>
      <x:c r="D64" s="57" t="n">
        <x:v>8</x:v>
      </x:c>
      <x:c r="E64" s="67"/>
      <x:c r="F64" s="71" t="str">
        <x:f>IF(OR(A64="",B64="",E64=""),"",COUNTIFS($A$6:$A$90,A64,$E$6:$E$90,"&gt;"&amp;E64)+1)</x:f>
      </x:c>
      <x:c r="G64" s="71" t="str">
        <x:f>IF(F64="","",F64)</x:f>
      </x:c>
      <x:c r="H64" s="1"/>
      <x:c r="I64" s="1"/>
      <x:c r="J64" s="1"/>
      <x:c r="K64" s="1"/>
      <x:c r="L64" s="1"/>
    </x:row>
    <x:row r="65">
      <x:c r="A65" s="35" t="str">
        <x:v>D</x:v>
      </x:c>
      <x:c r="B65" s="20"/>
      <x:c r="C65" s="20"/>
      <x:c r="D65" s="57" t="n">
        <x:v>9</x:v>
      </x:c>
      <x:c r="E65" s="67"/>
      <x:c r="F65" s="71" t="str">
        <x:f>IF(OR(A65="",B65="",E65=""),"",COUNTIFS($A$6:$A$90,A65,$E$6:$E$90,"&gt;"&amp;E65)+1)</x:f>
      </x:c>
      <x:c r="G65" s="71" t="str">
        <x:f>IF(F65="","",F65)</x:f>
      </x:c>
      <x:c r="H65" s="1"/>
      <x:c r="I65" s="1"/>
      <x:c r="J65" s="1"/>
      <x:c r="K65" s="1"/>
      <x:c r="L65" s="1"/>
    </x:row>
    <x:row r="66">
      <x:c r="A66" s="35" t="str">
        <x:v>D</x:v>
      </x:c>
      <x:c r="B66" s="20"/>
      <x:c r="C66" s="20"/>
      <x:c r="D66" s="57" t="n">
        <x:v>10</x:v>
      </x:c>
      <x:c r="E66" s="67"/>
      <x:c r="F66" s="71" t="str">
        <x:f>IF(OR(A66="",B66="",E66=""),"",COUNTIFS($A$6:$A$90,A66,$E$6:$E$90,"&gt;"&amp;E66)+1)</x:f>
      </x:c>
      <x:c r="G66" s="71" t="str">
        <x:f>IF(F66="","",F66)</x:f>
      </x:c>
      <x:c r="H66" s="1"/>
      <x:c r="I66" s="1"/>
      <x:c r="J66" s="1"/>
      <x:c r="K66" s="1"/>
      <x:c r="L66" s="1"/>
    </x:row>
    <x:row r="67">
      <x:c r="A67" s="35" t="str">
        <x:v>D</x:v>
      </x:c>
      <x:c r="B67" s="20"/>
      <x:c r="C67" s="20"/>
      <x:c r="D67" s="57" t="n">
        <x:v>11</x:v>
      </x:c>
      <x:c r="E67" s="67"/>
      <x:c r="F67" s="71" t="str">
        <x:f>IF(OR(A67="",B67="",E67=""),"",COUNTIFS($A$6:$A$90,A67,$E$6:$E$90,"&gt;"&amp;E67)+1)</x:f>
      </x:c>
      <x:c r="G67" s="71" t="str">
        <x:f>IF(F67="","",F67)</x:f>
      </x:c>
      <x:c r="H67" s="1"/>
      <x:c r="I67" s="1"/>
      <x:c r="J67" s="1"/>
      <x:c r="K67" s="1"/>
      <x:c r="L67" s="1"/>
    </x:row>
    <x:row r="68">
      <x:c r="A68" s="35" t="str">
        <x:v>D</x:v>
      </x:c>
      <x:c r="B68" s="20"/>
      <x:c r="C68" s="20"/>
      <x:c r="D68" s="57" t="n">
        <x:v>12</x:v>
      </x:c>
      <x:c r="E68" s="67"/>
      <x:c r="F68" s="71" t="str">
        <x:f>IF(OR(A68="",B68="",E68=""),"",COUNTIFS($A$6:$A$90,A68,$E$6:$E$90,"&gt;"&amp;E68)+1)</x:f>
      </x:c>
      <x:c r="G68" s="71" t="str">
        <x:f>IF(F68="","",F68)</x:f>
      </x:c>
      <x:c r="H68" s="1"/>
      <x:c r="I68" s="1"/>
      <x:c r="J68" s="1"/>
      <x:c r="K68" s="1"/>
      <x:c r="L68" s="1"/>
    </x:row>
    <x:row r="69">
      <x:c r="A69" s="35" t="str">
        <x:v>D</x:v>
      </x:c>
      <x:c r="B69" s="20"/>
      <x:c r="C69" s="20"/>
      <x:c r="D69" s="57" t="n">
        <x:v>13</x:v>
      </x:c>
      <x:c r="E69" s="67"/>
      <x:c r="F69" s="71" t="str">
        <x:f>IF(OR(A69="",B69="",E69=""),"",COUNTIFS($A$6:$A$90,A69,$E$6:$E$90,"&gt;"&amp;E69)+1)</x:f>
      </x:c>
      <x:c r="G69" s="71" t="str">
        <x:f>IF(F69="","",F69)</x:f>
      </x:c>
      <x:c r="H69" s="1"/>
      <x:c r="I69" s="1"/>
      <x:c r="J69" s="1"/>
      <x:c r="K69" s="1"/>
      <x:c r="L69" s="1"/>
    </x:row>
    <x:row r="70">
      <x:c r="A70" s="35" t="str">
        <x:v>D</x:v>
      </x:c>
      <x:c r="B70" s="20"/>
      <x:c r="C70" s="20"/>
      <x:c r="D70" s="57" t="n">
        <x:v>14</x:v>
      </x:c>
      <x:c r="E70" s="67"/>
      <x:c r="F70" s="71" t="str">
        <x:f>IF(OR(A70="",B70="",E70=""),"",COUNTIFS($A$6:$A$90,A70,$E$6:$E$90,"&gt;"&amp;E70)+1)</x:f>
      </x:c>
      <x:c r="G70" s="71" t="str">
        <x:f>IF(F70="","",F70)</x:f>
      </x:c>
      <x:c r="H70" s="1"/>
      <x:c r="I70" s="1"/>
      <x:c r="J70" s="1"/>
      <x:c r="K70" s="1"/>
      <x:c r="L70" s="1"/>
    </x:row>
    <x:row r="71">
      <x:c r="A71" s="35" t="str">
        <x:v>D</x:v>
      </x:c>
      <x:c r="B71" s="20"/>
      <x:c r="C71" s="20"/>
      <x:c r="D71" s="57" t="n">
        <x:v>15</x:v>
      </x:c>
      <x:c r="E71" s="67"/>
      <x:c r="F71" s="71" t="str">
        <x:f>IF(OR(A71="",B71="",E71=""),"",COUNTIFS($A$6:$A$90,A71,$E$6:$E$90,"&gt;"&amp;E71)+1)</x:f>
      </x:c>
      <x:c r="G71" s="71" t="str">
        <x:f>IF(F71="","",F71)</x:f>
      </x:c>
      <x:c r="H71" s="1"/>
      <x:c r="I71" s="1"/>
      <x:c r="J71" s="1"/>
      <x:c r="K71" s="1"/>
      <x:c r="L71" s="1"/>
    </x:row>
    <x:row r="72">
      <x:c r="A72" s="35" t="str">
        <x:v>D</x:v>
      </x:c>
      <x:c r="B72" s="20"/>
      <x:c r="C72" s="20"/>
      <x:c r="D72" s="57" t="n">
        <x:v>16</x:v>
      </x:c>
      <x:c r="E72" s="67"/>
      <x:c r="F72" s="71" t="str">
        <x:f>IF(OR(A72="",B72="",E72=""),"",COUNTIFS($A$6:$A$90,A72,$E$6:$E$90,"&gt;"&amp;E72)+1)</x:f>
      </x:c>
      <x:c r="G72" s="71" t="str">
        <x:f>IF(F72="","",F72)</x:f>
      </x:c>
      <x:c r="H72" s="1"/>
      <x:c r="I72" s="1"/>
      <x:c r="J72" s="1"/>
      <x:c r="K72" s="1"/>
      <x:c r="L72" s="1"/>
    </x:row>
    <x:row r="73">
      <x:c r="A73" s="35" t="str">
        <x:v>D</x:v>
      </x:c>
      <x:c r="B73" s="20"/>
      <x:c r="C73" s="20"/>
      <x:c r="D73" s="57" t="n">
        <x:v>17</x:v>
      </x:c>
      <x:c r="E73" s="67"/>
      <x:c r="F73" s="71" t="str">
        <x:f>IF(OR(A73="",B73="",E73=""),"",COUNTIFS($A$6:$A$90,A73,$E$6:$E$90,"&gt;"&amp;E73)+1)</x:f>
      </x:c>
      <x:c r="G73" s="71" t="str">
        <x:f>IF(F73="","",F73)</x:f>
      </x:c>
      <x:c r="H73" s="1"/>
      <x:c r="I73" s="1"/>
      <x:c r="J73" s="1"/>
      <x:c r="K73" s="1"/>
      <x:c r="L73" s="1"/>
    </x:row>
    <x:row r="74">
      <x:c r="A74" s="36" t="str">
        <x:v>E</x:v>
      </x:c>
      <x:c r="B74" s="27"/>
      <x:c r="C74" s="27"/>
      <x:c r="D74" s="58" t="n">
        <x:v>1</x:v>
      </x:c>
      <x:c r="E74" s="68"/>
      <x:c r="F74" s="70" t="str">
        <x:f>IF(OR(A74="",B74="",E74=""),"",COUNTIFS($A$6:$A$90,A74,$E$6:$E$90,"&gt;"&amp;E74)+1)</x:f>
      </x:c>
      <x:c r="G74" s="70" t="str">
        <x:f>IF(F74="","",F74)</x:f>
      </x:c>
      <x:c r="H74" s="1"/>
      <x:c r="I74" s="1"/>
      <x:c r="J74" s="1"/>
      <x:c r="K74" s="1"/>
      <x:c r="L74" s="1"/>
    </x:row>
    <x:row r="75">
      <x:c r="A75" s="37" t="str">
        <x:v>E</x:v>
      </x:c>
      <x:c r="B75" s="21"/>
      <x:c r="C75" s="21"/>
      <x:c r="D75" s="59" t="n">
        <x:v>2</x:v>
      </x:c>
      <x:c r="E75" s="69"/>
      <x:c r="F75" s="71" t="str">
        <x:f>IF(OR(A75="",B75="",E75=""),"",COUNTIFS($A$6:$A$90,A75,$E$6:$E$90,"&gt;"&amp;E75)+1)</x:f>
      </x:c>
      <x:c r="G75" s="71" t="str">
        <x:f>IF(F75="","",F75)</x:f>
      </x:c>
      <x:c r="H75" s="1"/>
      <x:c r="I75" s="1"/>
      <x:c r="J75" s="1"/>
      <x:c r="K75" s="1"/>
      <x:c r="L75" s="1"/>
    </x:row>
    <x:row r="76">
      <x:c r="A76" s="37" t="str">
        <x:v>E</x:v>
      </x:c>
      <x:c r="B76" s="21"/>
      <x:c r="C76" s="21"/>
      <x:c r="D76" s="59" t="n">
        <x:v>3</x:v>
      </x:c>
      <x:c r="E76" s="69"/>
      <x:c r="F76" s="71" t="str">
        <x:f>IF(OR(A76="",B76="",E76=""),"",COUNTIFS($A$6:$A$90,A76,$E$6:$E$90,"&gt;"&amp;E76)+1)</x:f>
      </x:c>
      <x:c r="G76" s="71" t="str">
        <x:f>IF(F76="","",F76)</x:f>
      </x:c>
      <x:c r="H76" s="1"/>
      <x:c r="I76" s="1"/>
      <x:c r="J76" s="1"/>
      <x:c r="K76" s="1"/>
      <x:c r="L76" s="1"/>
    </x:row>
    <x:row r="77">
      <x:c r="A77" s="37" t="str">
        <x:v>E</x:v>
      </x:c>
      <x:c r="B77" s="21"/>
      <x:c r="C77" s="21"/>
      <x:c r="D77" s="59" t="n">
        <x:v>4</x:v>
      </x:c>
      <x:c r="E77" s="69"/>
      <x:c r="F77" s="71" t="str">
        <x:f>IF(OR(A77="",B77="",E77=""),"",COUNTIFS($A$6:$A$90,A77,$E$6:$E$90,"&gt;"&amp;E77)+1)</x:f>
      </x:c>
      <x:c r="G77" s="71" t="str">
        <x:f>IF(F77="","",F77)</x:f>
      </x:c>
      <x:c r="H77" s="1"/>
      <x:c r="I77" s="1"/>
      <x:c r="J77" s="1"/>
      <x:c r="K77" s="1"/>
      <x:c r="L77" s="1"/>
    </x:row>
    <x:row r="78">
      <x:c r="A78" s="37" t="str">
        <x:v>E</x:v>
      </x:c>
      <x:c r="B78" s="21"/>
      <x:c r="C78" s="21"/>
      <x:c r="D78" s="59" t="n">
        <x:v>5</x:v>
      </x:c>
      <x:c r="E78" s="69"/>
      <x:c r="F78" s="71" t="str">
        <x:f>IF(OR(A78="",B78="",E78=""),"",COUNTIFS($A$6:$A$90,A78,$E$6:$E$90,"&gt;"&amp;E78)+1)</x:f>
      </x:c>
      <x:c r="G78" s="71" t="str">
        <x:f>IF(F78="","",F78)</x:f>
      </x:c>
      <x:c r="H78" s="1"/>
      <x:c r="I78" s="1"/>
      <x:c r="J78" s="1"/>
      <x:c r="K78" s="1"/>
      <x:c r="L78" s="1"/>
    </x:row>
    <x:row r="79">
      <x:c r="A79" s="37" t="str">
        <x:v>E</x:v>
      </x:c>
      <x:c r="B79" s="21"/>
      <x:c r="C79" s="21"/>
      <x:c r="D79" s="59" t="n">
        <x:v>6</x:v>
      </x:c>
      <x:c r="E79" s="69"/>
      <x:c r="F79" s="71" t="str">
        <x:f>IF(OR(A79="",B79="",E79=""),"",COUNTIFS($A$6:$A$90,A79,$E$6:$E$90,"&gt;"&amp;E79)+1)</x:f>
      </x:c>
      <x:c r="G79" s="71" t="str">
        <x:f>IF(F79="","",F79)</x:f>
      </x:c>
      <x:c r="H79" s="1"/>
      <x:c r="I79" s="1"/>
      <x:c r="J79" s="1"/>
      <x:c r="K79" s="1"/>
      <x:c r="L79" s="1"/>
    </x:row>
    <x:row r="80">
      <x:c r="A80" s="37" t="str">
        <x:v>E</x:v>
      </x:c>
      <x:c r="B80" s="21"/>
      <x:c r="C80" s="21"/>
      <x:c r="D80" s="59" t="n">
        <x:v>7</x:v>
      </x:c>
      <x:c r="E80" s="69"/>
      <x:c r="F80" s="71" t="str">
        <x:f>IF(OR(A80="",B80="",E80=""),"",COUNTIFS($A$6:$A$90,A80,$E$6:$E$90,"&gt;"&amp;E80)+1)</x:f>
      </x:c>
      <x:c r="G80" s="71" t="str">
        <x:f>IF(F80="","",F80)</x:f>
      </x:c>
      <x:c r="H80" s="1"/>
      <x:c r="I80" s="1"/>
      <x:c r="J80" s="1"/>
      <x:c r="K80" s="1"/>
      <x:c r="L80" s="1"/>
    </x:row>
    <x:row r="81">
      <x:c r="A81" s="37" t="str">
        <x:v>E</x:v>
      </x:c>
      <x:c r="B81" s="21"/>
      <x:c r="C81" s="21"/>
      <x:c r="D81" s="59" t="n">
        <x:v>8</x:v>
      </x:c>
      <x:c r="E81" s="69"/>
      <x:c r="F81" s="71" t="str">
        <x:f>IF(OR(A81="",B81="",E81=""),"",COUNTIFS($A$6:$A$90,A81,$E$6:$E$90,"&gt;"&amp;E81)+1)</x:f>
      </x:c>
      <x:c r="G81" s="71" t="str">
        <x:f>IF(F81="","",F81)</x:f>
      </x:c>
      <x:c r="H81" s="1"/>
      <x:c r="I81" s="1"/>
      <x:c r="J81" s="1"/>
      <x:c r="K81" s="1"/>
      <x:c r="L81" s="1"/>
    </x:row>
    <x:row r="82">
      <x:c r="A82" s="37" t="str">
        <x:v>E</x:v>
      </x:c>
      <x:c r="B82" s="21"/>
      <x:c r="C82" s="21"/>
      <x:c r="D82" s="59" t="n">
        <x:v>9</x:v>
      </x:c>
      <x:c r="E82" s="69"/>
      <x:c r="F82" s="71" t="str">
        <x:f>IF(OR(A82="",B82="",E82=""),"",COUNTIFS($A$6:$A$90,A82,$E$6:$E$90,"&gt;"&amp;E82)+1)</x:f>
      </x:c>
      <x:c r="G82" s="71" t="str">
        <x:f>IF(F82="","",F82)</x:f>
      </x:c>
      <x:c r="H82" s="1"/>
      <x:c r="I82" s="1"/>
      <x:c r="J82" s="1"/>
      <x:c r="K82" s="1"/>
      <x:c r="L82" s="1"/>
    </x:row>
    <x:row r="83">
      <x:c r="A83" s="37" t="str">
        <x:v>E</x:v>
      </x:c>
      <x:c r="B83" s="21"/>
      <x:c r="C83" s="21"/>
      <x:c r="D83" s="59" t="n">
        <x:v>10</x:v>
      </x:c>
      <x:c r="E83" s="69"/>
      <x:c r="F83" s="71" t="str">
        <x:f>IF(OR(A83="",B83="",E83=""),"",COUNTIFS($A$6:$A$90,A83,$E$6:$E$90,"&gt;"&amp;E83)+1)</x:f>
      </x:c>
      <x:c r="G83" s="71" t="str">
        <x:f>IF(F83="","",F83)</x:f>
      </x:c>
      <x:c r="H83" s="1"/>
      <x:c r="I83" s="1"/>
      <x:c r="J83" s="1"/>
      <x:c r="K83" s="1"/>
      <x:c r="L83" s="1"/>
    </x:row>
    <x:row r="84">
      <x:c r="A84" s="37" t="str">
        <x:v>E</x:v>
      </x:c>
      <x:c r="B84" s="21"/>
      <x:c r="C84" s="21"/>
      <x:c r="D84" s="59" t="n">
        <x:v>11</x:v>
      </x:c>
      <x:c r="E84" s="69"/>
      <x:c r="F84" s="71" t="str">
        <x:f>IF(OR(A84="",B84="",E84=""),"",COUNTIFS($A$6:$A$90,A84,$E$6:$E$90,"&gt;"&amp;E84)+1)</x:f>
      </x:c>
      <x:c r="G84" s="71" t="str">
        <x:f>IF(F84="","",F84)</x:f>
      </x:c>
      <x:c r="H84" s="1"/>
      <x:c r="I84" s="1"/>
      <x:c r="J84" s="1"/>
      <x:c r="K84" s="1"/>
      <x:c r="L84" s="1"/>
    </x:row>
    <x:row r="85">
      <x:c r="A85" s="37" t="str">
        <x:v>E</x:v>
      </x:c>
      <x:c r="B85" s="21"/>
      <x:c r="C85" s="21"/>
      <x:c r="D85" s="59" t="n">
        <x:v>12</x:v>
      </x:c>
      <x:c r="E85" s="69"/>
      <x:c r="F85" s="71" t="str">
        <x:f>IF(OR(A85="",B85="",E85=""),"",COUNTIFS($A$6:$A$90,A85,$E$6:$E$90,"&gt;"&amp;E85)+1)</x:f>
      </x:c>
      <x:c r="G85" s="71" t="str">
        <x:f>IF(F85="","",F85)</x:f>
      </x:c>
      <x:c r="H85" s="1"/>
      <x:c r="I85" s="1"/>
      <x:c r="J85" s="1"/>
      <x:c r="K85" s="1"/>
      <x:c r="L85" s="1"/>
    </x:row>
    <x:row r="86">
      <x:c r="A86" s="37" t="str">
        <x:v>E</x:v>
      </x:c>
      <x:c r="B86" s="21"/>
      <x:c r="C86" s="21"/>
      <x:c r="D86" s="59" t="n">
        <x:v>13</x:v>
      </x:c>
      <x:c r="E86" s="69"/>
      <x:c r="F86" s="71" t="str">
        <x:f>IF(OR(A86="",B86="",E86=""),"",COUNTIFS($A$6:$A$90,A86,$E$6:$E$90,"&gt;"&amp;E86)+1)</x:f>
      </x:c>
      <x:c r="G86" s="71" t="str">
        <x:f>IF(F86="","",F86)</x:f>
      </x:c>
      <x:c r="H86" s="1"/>
      <x:c r="I86" s="1"/>
      <x:c r="J86" s="1"/>
      <x:c r="K86" s="1"/>
      <x:c r="L86" s="1"/>
    </x:row>
    <x:row r="87">
      <x:c r="A87" s="37" t="str">
        <x:v>E</x:v>
      </x:c>
      <x:c r="B87" s="21"/>
      <x:c r="C87" s="21"/>
      <x:c r="D87" s="59" t="n">
        <x:v>14</x:v>
      </x:c>
      <x:c r="E87" s="69"/>
      <x:c r="F87" s="71" t="str">
        <x:f>IF(OR(A87="",B87="",E87=""),"",COUNTIFS($A$6:$A$90,A87,$E$6:$E$90,"&gt;"&amp;E87)+1)</x:f>
      </x:c>
      <x:c r="G87" s="71" t="str">
        <x:f>IF(F87="","",F87)</x:f>
      </x:c>
      <x:c r="H87" s="1"/>
      <x:c r="I87" s="1"/>
      <x:c r="J87" s="1"/>
      <x:c r="K87" s="1"/>
      <x:c r="L87" s="1"/>
    </x:row>
    <x:row r="88">
      <x:c r="A88" s="37" t="str">
        <x:v>E</x:v>
      </x:c>
      <x:c r="B88" s="21"/>
      <x:c r="C88" s="21"/>
      <x:c r="D88" s="59" t="n">
        <x:v>15</x:v>
      </x:c>
      <x:c r="E88" s="69"/>
      <x:c r="F88" s="71" t="str">
        <x:f>IF(OR(A88="",B88="",E88=""),"",COUNTIFS($A$6:$A$90,A88,$E$6:$E$90,"&gt;"&amp;E88)+1)</x:f>
      </x:c>
      <x:c r="G88" s="71" t="str">
        <x:f>IF(F88="","",F88)</x:f>
      </x:c>
      <x:c r="H88" s="1"/>
      <x:c r="I88" s="1"/>
      <x:c r="J88" s="1"/>
      <x:c r="K88" s="1"/>
      <x:c r="L88" s="1"/>
    </x:row>
    <x:row r="89">
      <x:c r="A89" s="37" t="str">
        <x:v>E</x:v>
      </x:c>
      <x:c r="B89" s="21"/>
      <x:c r="C89" s="21"/>
      <x:c r="D89" s="59" t="n">
        <x:v>16</x:v>
      </x:c>
      <x:c r="E89" s="69"/>
      <x:c r="F89" s="71" t="str">
        <x:f>IF(OR(A89="",B89="",E89=""),"",COUNTIFS($A$6:$A$90,A89,$E$6:$E$90,"&gt;"&amp;E89)+1)</x:f>
      </x:c>
      <x:c r="G89" s="71" t="str">
        <x:f>IF(F89="","",F89)</x:f>
      </x:c>
      <x:c r="H89" s="1"/>
      <x:c r="I89" s="1"/>
      <x:c r="J89" s="1"/>
      <x:c r="K89" s="1"/>
      <x:c r="L89" s="1"/>
    </x:row>
    <x:row r="90">
      <x:c r="A90" s="37" t="str">
        <x:v>E</x:v>
      </x:c>
      <x:c r="B90" s="21"/>
      <x:c r="C90" s="21"/>
      <x:c r="D90" s="59" t="n">
        <x:v>17</x:v>
      </x:c>
      <x:c r="E90" s="69"/>
      <x:c r="F90" s="71" t="str">
        <x:f>IF(OR(A90="",B90="",E90=""),"",COUNTIFS($A$6:$A$90,A90,$E$6:$E$90,"&gt;"&amp;E90)+1)</x:f>
      </x:c>
      <x:c r="G90" s="71" t="str">
        <x:f>IF(F90="","",F90)</x:f>
      </x:c>
      <x:c r="H90" s="1"/>
      <x:c r="I90" s="1"/>
      <x:c r="J90" s="1"/>
      <x:c r="K90" s="1"/>
      <x:c r="L90" s="1"/>
    </x:row>
  </x:sheetData>
  <x:mergeCells>
    <x:mergeCell ref="A1:G1"/>
    <x:mergeCell ref="A2:G2"/>
    <x:mergeCell ref="A3:G3"/>
    <x:mergeCell ref="I1:L1"/>
  </x:mergeCells>
  <x:conditionalFormatting sqref="F6:G90">
    <x:cfRule type="colorScale" priority="1">
      <x:colorScale>
        <x:cfvo type="min"/>
        <x:cfvo type="percentile" val="50"/>
        <x:cfvo type="max"/>
        <x:color rgb="FFD8F0E5"/>
        <x:color rgb="FFFFF2B8"/>
        <x:color rgb="FFF6C7C3"/>
      </x:colorScale>
    </x:cfRule>
  </x:conditionalFormatting>
  <x:dataValidations count="3">
    <x:dataValidation type="list" sqref="A6:A90">
      <x:formula1>"A,B,C,D,E"</x:formula1>
    </x:dataValidation>
    <x:dataValidation type="whole" operator="between" sqref="D6:D90">
      <x:formula1>1</x:formula1>
      <x:formula2>17</x:formula2>
    </x:dataValidation>
    <x:dataValidation type="whole" operator="between" sqref="E6:E9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e309540f5b34b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2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9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5" t="str">
        <x:v>VARŽYBŲ REZULTATAI – ANTRA DIENA</x:v>
      </x:c>
      <x:c r="B1" s="5"/>
      <x:c r="C1" s="5"/>
      <x:c r="D1" s="5"/>
      <x:c r="E1" s="5"/>
      <x:c r="F1" s="5"/>
      <x:c r="G1" s="5"/>
      <x:c r="H1" s="1"/>
      <x:c r="I1" s="74" t="str">
        <x:v>ANTRA DIENOS ZONŲ SUVESTINĖ</x:v>
      </x:c>
      <x:c r="J1" s="74"/>
      <x:c r="K1" s="74"/>
      <x:c r="L1" s="74"/>
    </x:row>
    <x:row r="2" ht="23" customHeight="1">
      <x:c r="A2" s="9" t="str">
        <x:v>Įvedami laukai: vardas pavardė, komanda, sektorius ir sugautas svoris gramais.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</x:row>
    <x:row r="3" ht="23" customHeight="1">
      <x:c r="A3" s="9" t="str">
        <x:v>Didžiausias svoris zonoje = 1 vieta = 1 baudos taškas.</x:v>
      </x:c>
      <x:c r="B3" s="9"/>
      <x:c r="C3" s="9"/>
      <x:c r="D3" s="9"/>
      <x:c r="E3" s="9"/>
      <x:c r="F3" s="9"/>
      <x:c r="G3" s="9"/>
      <x:c r="H3" s="1"/>
      <x:c r="I3" s="78" t="str">
        <x:v>Zona</x:v>
      </x:c>
      <x:c r="J3" s="78" t="str">
        <x:v>Dalyvių</x:v>
      </x:c>
      <x:c r="K3" s="78" t="str">
        <x:v>Bendras svoris (g)</x:v>
      </x:c>
      <x:c r="L3" s="78" t="str">
        <x:v>Didžiausias svoris (g)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80" t="str">
        <x:v>A</x:v>
      </x:c>
      <x:c r="J4" s="81" t="n">
        <x:f>COUNTIFS($A$6:$A$90,I4,$B$6:$B$90,"&lt;&gt;")</x:f>
        <x:v>0</x:v>
      </x:c>
      <x:c r="K4" s="81" t="n">
        <x:f>SUMIFS($E$6:$E$90,$A$6:$A$90,I4)</x:f>
        <x:v>0</x:v>
      </x:c>
      <x:c r="L4" s="81" t="str">
        <x:f>IF(J4=0,"",MAXIFS($E$6:$E$90,$A$6:$A$90,I4))</x:f>
      </x:c>
    </x:row>
    <x:row r="5" ht="30" customHeight="1">
      <x:c r="A5" s="14" t="str">
        <x:v>Zona</x:v>
      </x:c>
      <x:c r="B5" s="14" t="str">
        <x:v>Vardas Pavardė</x:v>
      </x:c>
      <x:c r="C5" s="14" t="str">
        <x:v>Komanda</x:v>
      </x:c>
      <x:c r="D5" s="14" t="str">
        <x:v>Sektorius</x:v>
      </x:c>
      <x:c r="E5" s="14" t="str">
        <x:v>Svoris (g)</x:v>
      </x:c>
      <x:c r="F5" s="14" t="str">
        <x:v>Vieta zonoje</x:v>
      </x:c>
      <x:c r="G5" s="14" t="str">
        <x:v>Baudos taškai</x:v>
      </x:c>
      <x:c r="H5" s="1"/>
      <x:c r="I5" s="80" t="str">
        <x:v>B</x:v>
      </x:c>
      <x:c r="J5" s="81" t="n">
        <x:f>COUNTIFS($A$6:$A$90,I5,$B$6:$B$90,"&lt;&gt;")</x:f>
        <x:v>0</x:v>
      </x:c>
      <x:c r="K5" s="81" t="n">
        <x:f>SUMIFS($E$6:$E$90,$A$6:$A$90,I5)</x:f>
        <x:v>0</x:v>
      </x:c>
      <x:c r="L5" s="81" t="str">
        <x:f>IF(J5=0,"",MAXIFS($E$6:$E$90,$A$6:$A$90,I5))</x:f>
      </x:c>
    </x:row>
    <x:row r="6">
      <x:c r="A6" s="28" t="str">
        <x:v>A</x:v>
      </x:c>
      <x:c r="B6" s="22"/>
      <x:c r="C6" s="22"/>
      <x:c r="D6" s="50" t="n">
        <x:v>1</x:v>
      </x:c>
      <x:c r="E6" s="60"/>
      <x:c r="F6" s="70" t="str">
        <x:f>IF(OR(A6="",B6="",E6=""),"",COUNTIFS($A$6:$A$90,A6,$E$6:$E$90,"&gt;"&amp;E6)+1)</x:f>
      </x:c>
      <x:c r="G6" s="70" t="str">
        <x:f>IF(F6="","",F6)</x:f>
      </x:c>
      <x:c r="H6" s="1"/>
      <x:c r="I6" s="80" t="str">
        <x:v>C</x:v>
      </x:c>
      <x:c r="J6" s="81" t="n">
        <x:f>COUNTIFS($A$6:$A$90,I6,$B$6:$B$90,"&lt;&gt;")</x:f>
        <x:v>0</x:v>
      </x:c>
      <x:c r="K6" s="81" t="n">
        <x:f>SUMIFS($E$6:$E$90,$A$6:$A$90,I6)</x:f>
        <x:v>0</x:v>
      </x:c>
      <x:c r="L6" s="81" t="str">
        <x:f>IF(J6=0,"",MAXIFS($E$6:$E$90,$A$6:$A$90,I6))</x:f>
      </x:c>
    </x:row>
    <x:row r="7">
      <x:c r="A7" s="29" t="str">
        <x:v>A</x:v>
      </x:c>
      <x:c r="B7" s="17"/>
      <x:c r="C7" s="17"/>
      <x:c r="D7" s="51" t="n">
        <x:v>2</x:v>
      </x:c>
      <x:c r="E7" s="61"/>
      <x:c r="F7" s="71" t="str">
        <x:f>IF(OR(A7="",B7="",E7=""),"",COUNTIFS($A$6:$A$90,A7,$E$6:$E$90,"&gt;"&amp;E7)+1)</x:f>
      </x:c>
      <x:c r="G7" s="71" t="str">
        <x:f>IF(F7="","",F7)</x:f>
      </x:c>
      <x:c r="H7" s="1"/>
      <x:c r="I7" s="80" t="str">
        <x:v>D</x:v>
      </x:c>
      <x:c r="J7" s="81" t="n">
        <x:f>COUNTIFS($A$6:$A$90,I7,$B$6:$B$90,"&lt;&gt;")</x:f>
        <x:v>0</x:v>
      </x:c>
      <x:c r="K7" s="81" t="n">
        <x:f>SUMIFS($E$6:$E$90,$A$6:$A$90,I7)</x:f>
        <x:v>0</x:v>
      </x:c>
      <x:c r="L7" s="81" t="str">
        <x:f>IF(J7=0,"",MAXIFS($E$6:$E$90,$A$6:$A$90,I7))</x:f>
      </x:c>
    </x:row>
    <x:row r="8">
      <x:c r="A8" s="29" t="str">
        <x:v>A</x:v>
      </x:c>
      <x:c r="B8" s="17"/>
      <x:c r="C8" s="17"/>
      <x:c r="D8" s="51" t="n">
        <x:v>3</x:v>
      </x:c>
      <x:c r="E8" s="61"/>
      <x:c r="F8" s="71" t="str">
        <x:f>IF(OR(A8="",B8="",E8=""),"",COUNTIFS($A$6:$A$90,A8,$E$6:$E$90,"&gt;"&amp;E8)+1)</x:f>
      </x:c>
      <x:c r="G8" s="71" t="str">
        <x:f>IF(F8="","",F8)</x:f>
      </x:c>
      <x:c r="H8" s="1"/>
      <x:c r="I8" s="80" t="str">
        <x:v>E</x:v>
      </x:c>
      <x:c r="J8" s="81" t="n">
        <x:f>COUNTIFS($A$6:$A$90,I8,$B$6:$B$90,"&lt;&gt;")</x:f>
        <x:v>0</x:v>
      </x:c>
      <x:c r="K8" s="81" t="n">
        <x:f>SUMIFS($E$6:$E$90,$A$6:$A$90,I8)</x:f>
        <x:v>0</x:v>
      </x:c>
      <x:c r="L8" s="81" t="str">
        <x:f>IF(J8=0,"",MAXIFS($E$6:$E$90,$A$6:$A$90,I8))</x:f>
      </x:c>
    </x:row>
    <x:row r="9">
      <x:c r="A9" s="29" t="str">
        <x:v>A</x:v>
      </x:c>
      <x:c r="B9" s="17"/>
      <x:c r="C9" s="17"/>
      <x:c r="D9" s="51" t="n">
        <x:v>4</x:v>
      </x:c>
      <x:c r="E9" s="61"/>
      <x:c r="F9" s="71" t="str">
        <x:f>IF(OR(A9="",B9="",E9=""),"",COUNTIFS($A$6:$A$90,A9,$E$6:$E$90,"&gt;"&amp;E9)+1)</x:f>
      </x:c>
      <x:c r="G9" s="71" t="str">
        <x:f>IF(F9="","",F9)</x:f>
      </x:c>
      <x:c r="H9" s="1"/>
      <x:c r="I9" s="1"/>
      <x:c r="J9" s="1"/>
      <x:c r="K9" s="1"/>
      <x:c r="L9" s="1"/>
    </x:row>
    <x:row r="10">
      <x:c r="A10" s="29" t="str">
        <x:v>A</x:v>
      </x:c>
      <x:c r="B10" s="17"/>
      <x:c r="C10" s="17"/>
      <x:c r="D10" s="51" t="n">
        <x:v>5</x:v>
      </x:c>
      <x:c r="E10" s="61"/>
      <x:c r="F10" s="71" t="str">
        <x:f>IF(OR(A10="",B10="",E10=""),"",COUNTIFS($A$6:$A$90,A10,$E$6:$E$90,"&gt;"&amp;E10)+1)</x:f>
      </x:c>
      <x:c r="G10" s="71" t="str">
        <x:f>IF(F10="","",F10)</x:f>
      </x:c>
      <x:c r="H10" s="1"/>
      <x:c r="I10" s="1"/>
      <x:c r="J10" s="1"/>
      <x:c r="K10" s="1"/>
      <x:c r="L10" s="1"/>
    </x:row>
    <x:row r="11">
      <x:c r="A11" s="29" t="str">
        <x:v>A</x:v>
      </x:c>
      <x:c r="B11" s="17"/>
      <x:c r="C11" s="17"/>
      <x:c r="D11" s="51" t="n">
        <x:v>6</x:v>
      </x:c>
      <x:c r="E11" s="61"/>
      <x:c r="F11" s="71" t="str">
        <x:f>IF(OR(A11="",B11="",E11=""),"",COUNTIFS($A$6:$A$90,A11,$E$6:$E$90,"&gt;"&amp;E11)+1)</x:f>
      </x:c>
      <x:c r="G11" s="71" t="str">
        <x:f>IF(F11="","",F11)</x:f>
      </x:c>
      <x:c r="H11" s="1"/>
      <x:c r="I11" s="1"/>
      <x:c r="J11" s="1"/>
      <x:c r="K11" s="1"/>
      <x:c r="L11" s="1"/>
    </x:row>
    <x:row r="12">
      <x:c r="A12" s="29" t="str">
        <x:v>A</x:v>
      </x:c>
      <x:c r="B12" s="17"/>
      <x:c r="C12" s="17"/>
      <x:c r="D12" s="51" t="n">
        <x:v>7</x:v>
      </x:c>
      <x:c r="E12" s="61"/>
      <x:c r="F12" s="71" t="str">
        <x:f>IF(OR(A12="",B12="",E12=""),"",COUNTIFS($A$6:$A$90,A12,$E$6:$E$90,"&gt;"&amp;E12)+1)</x:f>
      </x:c>
      <x:c r="G12" s="71" t="str">
        <x:f>IF(F12="","",F12)</x:f>
      </x:c>
      <x:c r="H12" s="1"/>
      <x:c r="I12" s="1"/>
      <x:c r="J12" s="1"/>
      <x:c r="K12" s="1"/>
      <x:c r="L12" s="1"/>
    </x:row>
    <x:row r="13">
      <x:c r="A13" s="29" t="str">
        <x:v>A</x:v>
      </x:c>
      <x:c r="B13" s="17"/>
      <x:c r="C13" s="17"/>
      <x:c r="D13" s="51" t="n">
        <x:v>8</x:v>
      </x:c>
      <x:c r="E13" s="61"/>
      <x:c r="F13" s="71" t="str">
        <x:f>IF(OR(A13="",B13="",E13=""),"",COUNTIFS($A$6:$A$90,A13,$E$6:$E$90,"&gt;"&amp;E13)+1)</x:f>
      </x:c>
      <x:c r="G13" s="71" t="str">
        <x:f>IF(F13="","",F13)</x:f>
      </x:c>
      <x:c r="H13" s="1"/>
      <x:c r="I13" s="1"/>
      <x:c r="J13" s="1"/>
      <x:c r="K13" s="1"/>
      <x:c r="L13" s="1"/>
    </x:row>
    <x:row r="14">
      <x:c r="A14" s="29" t="str">
        <x:v>A</x:v>
      </x:c>
      <x:c r="B14" s="17"/>
      <x:c r="C14" s="17"/>
      <x:c r="D14" s="51" t="n">
        <x:v>9</x:v>
      </x:c>
      <x:c r="E14" s="61"/>
      <x:c r="F14" s="71" t="str">
        <x:f>IF(OR(A14="",B14="",E14=""),"",COUNTIFS($A$6:$A$90,A14,$E$6:$E$90,"&gt;"&amp;E14)+1)</x:f>
      </x:c>
      <x:c r="G14" s="71" t="str">
        <x:f>IF(F14="","",F14)</x:f>
      </x:c>
      <x:c r="H14" s="1"/>
      <x:c r="I14" s="1"/>
      <x:c r="J14" s="1"/>
      <x:c r="K14" s="1"/>
      <x:c r="L14" s="1"/>
    </x:row>
    <x:row r="15">
      <x:c r="A15" s="29" t="str">
        <x:v>A</x:v>
      </x:c>
      <x:c r="B15" s="17"/>
      <x:c r="C15" s="17"/>
      <x:c r="D15" s="51" t="n">
        <x:v>10</x:v>
      </x:c>
      <x:c r="E15" s="61"/>
      <x:c r="F15" s="71" t="str">
        <x:f>IF(OR(A15="",B15="",E15=""),"",COUNTIFS($A$6:$A$90,A15,$E$6:$E$90,"&gt;"&amp;E15)+1)</x:f>
      </x:c>
      <x:c r="G15" s="71" t="str">
        <x:f>IF(F15="","",F15)</x:f>
      </x:c>
      <x:c r="H15" s="1"/>
      <x:c r="I15" s="1"/>
      <x:c r="J15" s="1"/>
      <x:c r="K15" s="1"/>
      <x:c r="L15" s="1"/>
    </x:row>
    <x:row r="16">
      <x:c r="A16" s="29" t="str">
        <x:v>A</x:v>
      </x:c>
      <x:c r="B16" s="17"/>
      <x:c r="C16" s="17"/>
      <x:c r="D16" s="51" t="n">
        <x:v>11</x:v>
      </x:c>
      <x:c r="E16" s="61"/>
      <x:c r="F16" s="71" t="str">
        <x:f>IF(OR(A16="",B16="",E16=""),"",COUNTIFS($A$6:$A$90,A16,$E$6:$E$90,"&gt;"&amp;E16)+1)</x:f>
      </x:c>
      <x:c r="G16" s="71" t="str">
        <x:f>IF(F16="","",F16)</x:f>
      </x:c>
      <x:c r="H16" s="1"/>
      <x:c r="I16" s="1"/>
      <x:c r="J16" s="1"/>
      <x:c r="K16" s="1"/>
      <x:c r="L16" s="1"/>
    </x:row>
    <x:row r="17">
      <x:c r="A17" s="29" t="str">
        <x:v>A</x:v>
      </x:c>
      <x:c r="B17" s="17"/>
      <x:c r="C17" s="17"/>
      <x:c r="D17" s="51" t="n">
        <x:v>12</x:v>
      </x:c>
      <x:c r="E17" s="61"/>
      <x:c r="F17" s="71" t="str">
        <x:f>IF(OR(A17="",B17="",E17=""),"",COUNTIFS($A$6:$A$90,A17,$E$6:$E$90,"&gt;"&amp;E17)+1)</x:f>
      </x:c>
      <x:c r="G17" s="71" t="str">
        <x:f>IF(F17="","",F17)</x:f>
      </x:c>
      <x:c r="H17" s="1"/>
      <x:c r="I17" s="1"/>
      <x:c r="J17" s="1"/>
      <x:c r="K17" s="1"/>
      <x:c r="L17" s="1"/>
    </x:row>
    <x:row r="18">
      <x:c r="A18" s="29" t="str">
        <x:v>A</x:v>
      </x:c>
      <x:c r="B18" s="17"/>
      <x:c r="C18" s="17"/>
      <x:c r="D18" s="51" t="n">
        <x:v>13</x:v>
      </x:c>
      <x:c r="E18" s="61"/>
      <x:c r="F18" s="71" t="str">
        <x:f>IF(OR(A18="",B18="",E18=""),"",COUNTIFS($A$6:$A$90,A18,$E$6:$E$90,"&gt;"&amp;E18)+1)</x:f>
      </x:c>
      <x:c r="G18" s="71" t="str">
        <x:f>IF(F18="","",F18)</x:f>
      </x:c>
      <x:c r="H18" s="1"/>
      <x:c r="I18" s="1"/>
      <x:c r="J18" s="1"/>
      <x:c r="K18" s="1"/>
      <x:c r="L18" s="1"/>
    </x:row>
    <x:row r="19">
      <x:c r="A19" s="29" t="str">
        <x:v>A</x:v>
      </x:c>
      <x:c r="B19" s="17"/>
      <x:c r="C19" s="17"/>
      <x:c r="D19" s="51" t="n">
        <x:v>14</x:v>
      </x:c>
      <x:c r="E19" s="61"/>
      <x:c r="F19" s="71" t="str">
        <x:f>IF(OR(A19="",B19="",E19=""),"",COUNTIFS($A$6:$A$90,A19,$E$6:$E$90,"&gt;"&amp;E19)+1)</x:f>
      </x:c>
      <x:c r="G19" s="71" t="str">
        <x:f>IF(F19="","",F19)</x:f>
      </x:c>
      <x:c r="H19" s="1"/>
      <x:c r="I19" s="1"/>
      <x:c r="J19" s="1"/>
      <x:c r="K19" s="1"/>
      <x:c r="L19" s="1"/>
    </x:row>
    <x:row r="20">
      <x:c r="A20" s="29" t="str">
        <x:v>A</x:v>
      </x:c>
      <x:c r="B20" s="17"/>
      <x:c r="C20" s="17"/>
      <x:c r="D20" s="51" t="n">
        <x:v>15</x:v>
      </x:c>
      <x:c r="E20" s="61"/>
      <x:c r="F20" s="71" t="str">
        <x:f>IF(OR(A20="",B20="",E20=""),"",COUNTIFS($A$6:$A$90,A20,$E$6:$E$90,"&gt;"&amp;E20)+1)</x:f>
      </x:c>
      <x:c r="G20" s="71" t="str">
        <x:f>IF(F20="","",F20)</x:f>
      </x:c>
      <x:c r="H20" s="1"/>
      <x:c r="I20" s="1"/>
      <x:c r="J20" s="1"/>
      <x:c r="K20" s="1"/>
      <x:c r="L20" s="1"/>
    </x:row>
    <x:row r="21">
      <x:c r="A21" s="29" t="str">
        <x:v>A</x:v>
      </x:c>
      <x:c r="B21" s="17"/>
      <x:c r="C21" s="17"/>
      <x:c r="D21" s="51" t="n">
        <x:v>16</x:v>
      </x:c>
      <x:c r="E21" s="61"/>
      <x:c r="F21" s="71" t="str">
        <x:f>IF(OR(A21="",B21="",E21=""),"",COUNTIFS($A$6:$A$90,A21,$E$6:$E$90,"&gt;"&amp;E21)+1)</x:f>
      </x:c>
      <x:c r="G21" s="71" t="str">
        <x:f>IF(F21="","",F21)</x:f>
      </x:c>
      <x:c r="H21" s="1"/>
      <x:c r="I21" s="1"/>
      <x:c r="J21" s="1"/>
      <x:c r="K21" s="1"/>
      <x:c r="L21" s="1"/>
    </x:row>
    <x:row r="22">
      <x:c r="A22" s="29" t="str">
        <x:v>A</x:v>
      </x:c>
      <x:c r="B22" s="17"/>
      <x:c r="C22" s="17"/>
      <x:c r="D22" s="51" t="n">
        <x:v>17</x:v>
      </x:c>
      <x:c r="E22" s="61"/>
      <x:c r="F22" s="71" t="str">
        <x:f>IF(OR(A22="",B22="",E22=""),"",COUNTIFS($A$6:$A$90,A22,$E$6:$E$90,"&gt;"&amp;E22)+1)</x:f>
      </x:c>
      <x:c r="G22" s="71" t="str">
        <x:f>IF(F22="","",F22)</x:f>
      </x:c>
      <x:c r="H22" s="1"/>
      <x:c r="I22" s="1"/>
      <x:c r="J22" s="1"/>
      <x:c r="K22" s="1"/>
      <x:c r="L22" s="1"/>
    </x:row>
    <x:row r="23">
      <x:c r="A23" s="30" t="str">
        <x:v>B</x:v>
      </x:c>
      <x:c r="B23" s="24"/>
      <x:c r="C23" s="24"/>
      <x:c r="D23" s="52" t="n">
        <x:v>1</x:v>
      </x:c>
      <x:c r="E23" s="62"/>
      <x:c r="F23" s="70" t="str">
        <x:f>IF(OR(A23="",B23="",E23=""),"",COUNTIFS($A$6:$A$90,A23,$E$6:$E$90,"&gt;"&amp;E23)+1)</x:f>
      </x:c>
      <x:c r="G23" s="70" t="str">
        <x:f>IF(F23="","",F23)</x:f>
      </x:c>
      <x:c r="H23" s="1"/>
      <x:c r="I23" s="1"/>
      <x:c r="J23" s="1"/>
      <x:c r="K23" s="1"/>
      <x:c r="L23" s="1"/>
    </x:row>
    <x:row r="24">
      <x:c r="A24" s="31" t="str">
        <x:v>B</x:v>
      </x:c>
      <x:c r="B24" s="18"/>
      <x:c r="C24" s="18"/>
      <x:c r="D24" s="53" t="n">
        <x:v>2</x:v>
      </x:c>
      <x:c r="E24" s="63"/>
      <x:c r="F24" s="71" t="str">
        <x:f>IF(OR(A24="",B24="",E24=""),"",COUNTIFS($A$6:$A$90,A24,$E$6:$E$90,"&gt;"&amp;E24)+1)</x:f>
      </x:c>
      <x:c r="G24" s="71" t="str">
        <x:f>IF(F24="","",F24)</x:f>
      </x:c>
      <x:c r="H24" s="1"/>
      <x:c r="I24" s="1"/>
      <x:c r="J24" s="1"/>
      <x:c r="K24" s="1"/>
      <x:c r="L24" s="1"/>
    </x:row>
    <x:row r="25">
      <x:c r="A25" s="31" t="str">
        <x:v>B</x:v>
      </x:c>
      <x:c r="B25" s="18"/>
      <x:c r="C25" s="18"/>
      <x:c r="D25" s="53" t="n">
        <x:v>3</x:v>
      </x:c>
      <x:c r="E25" s="63"/>
      <x:c r="F25" s="71" t="str">
        <x:f>IF(OR(A25="",B25="",E25=""),"",COUNTIFS($A$6:$A$90,A25,$E$6:$E$90,"&gt;"&amp;E25)+1)</x:f>
      </x:c>
      <x:c r="G25" s="71" t="str">
        <x:f>IF(F25="","",F25)</x:f>
      </x:c>
      <x:c r="H25" s="1"/>
      <x:c r="I25" s="1"/>
      <x:c r="J25" s="1"/>
      <x:c r="K25" s="1"/>
      <x:c r="L25" s="1"/>
    </x:row>
    <x:row r="26">
      <x:c r="A26" s="31" t="str">
        <x:v>B</x:v>
      </x:c>
      <x:c r="B26" s="18"/>
      <x:c r="C26" s="18"/>
      <x:c r="D26" s="53" t="n">
        <x:v>4</x:v>
      </x:c>
      <x:c r="E26" s="63"/>
      <x:c r="F26" s="71" t="str">
        <x:f>IF(OR(A26="",B26="",E26=""),"",COUNTIFS($A$6:$A$90,A26,$E$6:$E$90,"&gt;"&amp;E26)+1)</x:f>
      </x:c>
      <x:c r="G26" s="71" t="str">
        <x:f>IF(F26="","",F26)</x:f>
      </x:c>
      <x:c r="H26" s="1"/>
      <x:c r="I26" s="1"/>
      <x:c r="J26" s="1"/>
      <x:c r="K26" s="1"/>
      <x:c r="L26" s="1"/>
    </x:row>
    <x:row r="27">
      <x:c r="A27" s="31" t="str">
        <x:v>B</x:v>
      </x:c>
      <x:c r="B27" s="18"/>
      <x:c r="C27" s="18"/>
      <x:c r="D27" s="53" t="n">
        <x:v>5</x:v>
      </x:c>
      <x:c r="E27" s="63"/>
      <x:c r="F27" s="71" t="str">
        <x:f>IF(OR(A27="",B27="",E27=""),"",COUNTIFS($A$6:$A$90,A27,$E$6:$E$90,"&gt;"&amp;E27)+1)</x:f>
      </x:c>
      <x:c r="G27" s="71" t="str">
        <x:f>IF(F27="","",F27)</x:f>
      </x:c>
      <x:c r="H27" s="1"/>
      <x:c r="I27" s="1"/>
      <x:c r="J27" s="1"/>
      <x:c r="K27" s="1"/>
      <x:c r="L27" s="1"/>
    </x:row>
    <x:row r="28">
      <x:c r="A28" s="31" t="str">
        <x:v>B</x:v>
      </x:c>
      <x:c r="B28" s="18"/>
      <x:c r="C28" s="18"/>
      <x:c r="D28" s="53" t="n">
        <x:v>6</x:v>
      </x:c>
      <x:c r="E28" s="63"/>
      <x:c r="F28" s="71" t="str">
        <x:f>IF(OR(A28="",B28="",E28=""),"",COUNTIFS($A$6:$A$90,A28,$E$6:$E$90,"&gt;"&amp;E28)+1)</x:f>
      </x:c>
      <x:c r="G28" s="71" t="str">
        <x:f>IF(F28="","",F28)</x:f>
      </x:c>
      <x:c r="H28" s="1"/>
      <x:c r="I28" s="1"/>
      <x:c r="J28" s="1"/>
      <x:c r="K28" s="1"/>
      <x:c r="L28" s="1"/>
    </x:row>
    <x:row r="29">
      <x:c r="A29" s="31" t="str">
        <x:v>B</x:v>
      </x:c>
      <x:c r="B29" s="18"/>
      <x:c r="C29" s="18"/>
      <x:c r="D29" s="53" t="n">
        <x:v>7</x:v>
      </x:c>
      <x:c r="E29" s="63"/>
      <x:c r="F29" s="71" t="str">
        <x:f>IF(OR(A29="",B29="",E29=""),"",COUNTIFS($A$6:$A$90,A29,$E$6:$E$90,"&gt;"&amp;E29)+1)</x:f>
      </x:c>
      <x:c r="G29" s="71" t="str">
        <x:f>IF(F29="","",F29)</x:f>
      </x:c>
      <x:c r="H29" s="1"/>
      <x:c r="I29" s="1"/>
      <x:c r="J29" s="1"/>
      <x:c r="K29" s="1"/>
      <x:c r="L29" s="1"/>
    </x:row>
    <x:row r="30">
      <x:c r="A30" s="31" t="str">
        <x:v>B</x:v>
      </x:c>
      <x:c r="B30" s="18"/>
      <x:c r="C30" s="18"/>
      <x:c r="D30" s="53" t="n">
        <x:v>8</x:v>
      </x:c>
      <x:c r="E30" s="63"/>
      <x:c r="F30" s="71" t="str">
        <x:f>IF(OR(A30="",B30="",E30=""),"",COUNTIFS($A$6:$A$90,A30,$E$6:$E$90,"&gt;"&amp;E30)+1)</x:f>
      </x:c>
      <x:c r="G30" s="71" t="str">
        <x:f>IF(F30="","",F30)</x:f>
      </x:c>
      <x:c r="H30" s="1"/>
      <x:c r="I30" s="1"/>
      <x:c r="J30" s="1"/>
      <x:c r="K30" s="1"/>
      <x:c r="L30" s="1"/>
    </x:row>
    <x:row r="31">
      <x:c r="A31" s="31" t="str">
        <x:v>B</x:v>
      </x:c>
      <x:c r="B31" s="18"/>
      <x:c r="C31" s="18"/>
      <x:c r="D31" s="53" t="n">
        <x:v>9</x:v>
      </x:c>
      <x:c r="E31" s="63"/>
      <x:c r="F31" s="71" t="str">
        <x:f>IF(OR(A31="",B31="",E31=""),"",COUNTIFS($A$6:$A$90,A31,$E$6:$E$90,"&gt;"&amp;E31)+1)</x:f>
      </x:c>
      <x:c r="G31" s="71" t="str">
        <x:f>IF(F31="","",F31)</x:f>
      </x:c>
      <x:c r="H31" s="1"/>
      <x:c r="I31" s="1"/>
      <x:c r="J31" s="1"/>
      <x:c r="K31" s="1"/>
      <x:c r="L31" s="1"/>
    </x:row>
    <x:row r="32">
      <x:c r="A32" s="31" t="str">
        <x:v>B</x:v>
      </x:c>
      <x:c r="B32" s="18"/>
      <x:c r="C32" s="18"/>
      <x:c r="D32" s="53" t="n">
        <x:v>10</x:v>
      </x:c>
      <x:c r="E32" s="63"/>
      <x:c r="F32" s="71" t="str">
        <x:f>IF(OR(A32="",B32="",E32=""),"",COUNTIFS($A$6:$A$90,A32,$E$6:$E$90,"&gt;"&amp;E32)+1)</x:f>
      </x:c>
      <x:c r="G32" s="71" t="str">
        <x:f>IF(F32="","",F32)</x:f>
      </x:c>
      <x:c r="H32" s="1"/>
      <x:c r="I32" s="1"/>
      <x:c r="J32" s="1"/>
      <x:c r="K32" s="1"/>
      <x:c r="L32" s="1"/>
    </x:row>
    <x:row r="33">
      <x:c r="A33" s="31" t="str">
        <x:v>B</x:v>
      </x:c>
      <x:c r="B33" s="18"/>
      <x:c r="C33" s="18"/>
      <x:c r="D33" s="53" t="n">
        <x:v>11</x:v>
      </x:c>
      <x:c r="E33" s="63"/>
      <x:c r="F33" s="71" t="str">
        <x:f>IF(OR(A33="",B33="",E33=""),"",COUNTIFS($A$6:$A$90,A33,$E$6:$E$90,"&gt;"&amp;E33)+1)</x:f>
      </x:c>
      <x:c r="G33" s="71" t="str">
        <x:f>IF(F33="","",F33)</x:f>
      </x:c>
      <x:c r="H33" s="1"/>
      <x:c r="I33" s="1"/>
      <x:c r="J33" s="1"/>
      <x:c r="K33" s="1"/>
      <x:c r="L33" s="1"/>
    </x:row>
    <x:row r="34">
      <x:c r="A34" s="31" t="str">
        <x:v>B</x:v>
      </x:c>
      <x:c r="B34" s="18"/>
      <x:c r="C34" s="18"/>
      <x:c r="D34" s="53" t="n">
        <x:v>12</x:v>
      </x:c>
      <x:c r="E34" s="63"/>
      <x:c r="F34" s="71" t="str">
        <x:f>IF(OR(A34="",B34="",E34=""),"",COUNTIFS($A$6:$A$90,A34,$E$6:$E$90,"&gt;"&amp;E34)+1)</x:f>
      </x:c>
      <x:c r="G34" s="71" t="str">
        <x:f>IF(F34="","",F34)</x:f>
      </x:c>
      <x:c r="H34" s="1"/>
      <x:c r="I34" s="1"/>
      <x:c r="J34" s="1"/>
      <x:c r="K34" s="1"/>
      <x:c r="L34" s="1"/>
    </x:row>
    <x:row r="35">
      <x:c r="A35" s="31" t="str">
        <x:v>B</x:v>
      </x:c>
      <x:c r="B35" s="18"/>
      <x:c r="C35" s="18"/>
      <x:c r="D35" s="53" t="n">
        <x:v>13</x:v>
      </x:c>
      <x:c r="E35" s="63"/>
      <x:c r="F35" s="71" t="str">
        <x:f>IF(OR(A35="",B35="",E35=""),"",COUNTIFS($A$6:$A$90,A35,$E$6:$E$90,"&gt;"&amp;E35)+1)</x:f>
      </x:c>
      <x:c r="G35" s="71" t="str">
        <x:f>IF(F35="","",F35)</x:f>
      </x:c>
      <x:c r="H35" s="1"/>
      <x:c r="I35" s="1"/>
      <x:c r="J35" s="1"/>
      <x:c r="K35" s="1"/>
      <x:c r="L35" s="1"/>
    </x:row>
    <x:row r="36">
      <x:c r="A36" s="31" t="str">
        <x:v>B</x:v>
      </x:c>
      <x:c r="B36" s="18"/>
      <x:c r="C36" s="18"/>
      <x:c r="D36" s="53" t="n">
        <x:v>14</x:v>
      </x:c>
      <x:c r="E36" s="63"/>
      <x:c r="F36" s="71" t="str">
        <x:f>IF(OR(A36="",B36="",E36=""),"",COUNTIFS($A$6:$A$90,A36,$E$6:$E$90,"&gt;"&amp;E36)+1)</x:f>
      </x:c>
      <x:c r="G36" s="71" t="str">
        <x:f>IF(F36="","",F36)</x:f>
      </x:c>
      <x:c r="H36" s="1"/>
      <x:c r="I36" s="1"/>
      <x:c r="J36" s="1"/>
      <x:c r="K36" s="1"/>
      <x:c r="L36" s="1"/>
    </x:row>
    <x:row r="37">
      <x:c r="A37" s="31" t="str">
        <x:v>B</x:v>
      </x:c>
      <x:c r="B37" s="18"/>
      <x:c r="C37" s="18"/>
      <x:c r="D37" s="53" t="n">
        <x:v>15</x:v>
      </x:c>
      <x:c r="E37" s="63"/>
      <x:c r="F37" s="71" t="str">
        <x:f>IF(OR(A37="",B37="",E37=""),"",COUNTIFS($A$6:$A$90,A37,$E$6:$E$90,"&gt;"&amp;E37)+1)</x:f>
      </x:c>
      <x:c r="G37" s="71" t="str">
        <x:f>IF(F37="","",F37)</x:f>
      </x:c>
      <x:c r="H37" s="1"/>
      <x:c r="I37" s="1"/>
      <x:c r="J37" s="1"/>
      <x:c r="K37" s="1"/>
      <x:c r="L37" s="1"/>
    </x:row>
    <x:row r="38">
      <x:c r="A38" s="31" t="str">
        <x:v>B</x:v>
      </x:c>
      <x:c r="B38" s="18"/>
      <x:c r="C38" s="18"/>
      <x:c r="D38" s="53" t="n">
        <x:v>16</x:v>
      </x:c>
      <x:c r="E38" s="63"/>
      <x:c r="F38" s="71" t="str">
        <x:f>IF(OR(A38="",B38="",E38=""),"",COUNTIFS($A$6:$A$90,A38,$E$6:$E$90,"&gt;"&amp;E38)+1)</x:f>
      </x:c>
      <x:c r="G38" s="71" t="str">
        <x:f>IF(F38="","",F38)</x:f>
      </x:c>
      <x:c r="H38" s="1"/>
      <x:c r="I38" s="1"/>
      <x:c r="J38" s="1"/>
      <x:c r="K38" s="1"/>
      <x:c r="L38" s="1"/>
    </x:row>
    <x:row r="39">
      <x:c r="A39" s="31" t="str">
        <x:v>B</x:v>
      </x:c>
      <x:c r="B39" s="18"/>
      <x:c r="C39" s="18"/>
      <x:c r="D39" s="53" t="n">
        <x:v>17</x:v>
      </x:c>
      <x:c r="E39" s="63"/>
      <x:c r="F39" s="71" t="str">
        <x:f>IF(OR(A39="",B39="",E39=""),"",COUNTIFS($A$6:$A$90,A39,$E$6:$E$90,"&gt;"&amp;E39)+1)</x:f>
      </x:c>
      <x:c r="G39" s="71" t="str">
        <x:f>IF(F39="","",F39)</x:f>
      </x:c>
      <x:c r="H39" s="1"/>
      <x:c r="I39" s="1"/>
      <x:c r="J39" s="1"/>
      <x:c r="K39" s="1"/>
      <x:c r="L39" s="1"/>
    </x:row>
    <x:row r="40">
      <x:c r="A40" s="32" t="str">
        <x:v>C</x:v>
      </x:c>
      <x:c r="B40" s="25"/>
      <x:c r="C40" s="25"/>
      <x:c r="D40" s="54" t="n">
        <x:v>1</x:v>
      </x:c>
      <x:c r="E40" s="64"/>
      <x:c r="F40" s="70" t="str">
        <x:f>IF(OR(A40="",B40="",E40=""),"",COUNTIFS($A$6:$A$90,A40,$E$6:$E$90,"&gt;"&amp;E40)+1)</x:f>
      </x:c>
      <x:c r="G40" s="70" t="str">
        <x:f>IF(F40="","",F40)</x:f>
      </x:c>
      <x:c r="H40" s="1"/>
      <x:c r="I40" s="1"/>
      <x:c r="J40" s="1"/>
      <x:c r="K40" s="1"/>
      <x:c r="L40" s="1"/>
    </x:row>
    <x:row r="41">
      <x:c r="A41" s="33" t="str">
        <x:v>C</x:v>
      </x:c>
      <x:c r="B41" s="19"/>
      <x:c r="C41" s="19"/>
      <x:c r="D41" s="55" t="n">
        <x:v>2</x:v>
      </x:c>
      <x:c r="E41" s="65"/>
      <x:c r="F41" s="71" t="str">
        <x:f>IF(OR(A41="",B41="",E41=""),"",COUNTIFS($A$6:$A$90,A41,$E$6:$E$90,"&gt;"&amp;E41)+1)</x:f>
      </x:c>
      <x:c r="G41" s="71" t="str">
        <x:f>IF(F41="","",F41)</x:f>
      </x:c>
      <x:c r="H41" s="1"/>
      <x:c r="I41" s="1"/>
      <x:c r="J41" s="1"/>
      <x:c r="K41" s="1"/>
      <x:c r="L41" s="1"/>
    </x:row>
    <x:row r="42">
      <x:c r="A42" s="33" t="str">
        <x:v>C</x:v>
      </x:c>
      <x:c r="B42" s="19"/>
      <x:c r="C42" s="19"/>
      <x:c r="D42" s="55" t="n">
        <x:v>3</x:v>
      </x:c>
      <x:c r="E42" s="65"/>
      <x:c r="F42" s="71" t="str">
        <x:f>IF(OR(A42="",B42="",E42=""),"",COUNTIFS($A$6:$A$90,A42,$E$6:$E$90,"&gt;"&amp;E42)+1)</x:f>
      </x:c>
      <x:c r="G42" s="71" t="str">
        <x:f>IF(F42="","",F42)</x:f>
      </x:c>
      <x:c r="H42" s="1"/>
      <x:c r="I42" s="1"/>
      <x:c r="J42" s="1"/>
      <x:c r="K42" s="1"/>
      <x:c r="L42" s="1"/>
    </x:row>
    <x:row r="43">
      <x:c r="A43" s="33" t="str">
        <x:v>C</x:v>
      </x:c>
      <x:c r="B43" s="19"/>
      <x:c r="C43" s="19"/>
      <x:c r="D43" s="55" t="n">
        <x:v>4</x:v>
      </x:c>
      <x:c r="E43" s="65"/>
      <x:c r="F43" s="71" t="str">
        <x:f>IF(OR(A43="",B43="",E43=""),"",COUNTIFS($A$6:$A$90,A43,$E$6:$E$90,"&gt;"&amp;E43)+1)</x:f>
      </x:c>
      <x:c r="G43" s="71" t="str">
        <x:f>IF(F43="","",F43)</x:f>
      </x:c>
      <x:c r="H43" s="1"/>
      <x:c r="I43" s="1"/>
      <x:c r="J43" s="1"/>
      <x:c r="K43" s="1"/>
      <x:c r="L43" s="1"/>
    </x:row>
    <x:row r="44">
      <x:c r="A44" s="33" t="str">
        <x:v>C</x:v>
      </x:c>
      <x:c r="B44" s="19"/>
      <x:c r="C44" s="19"/>
      <x:c r="D44" s="55" t="n">
        <x:v>5</x:v>
      </x:c>
      <x:c r="E44" s="65"/>
      <x:c r="F44" s="71" t="str">
        <x:f>IF(OR(A44="",B44="",E44=""),"",COUNTIFS($A$6:$A$90,A44,$E$6:$E$90,"&gt;"&amp;E44)+1)</x:f>
      </x:c>
      <x:c r="G44" s="71" t="str">
        <x:f>IF(F44="","",F44)</x:f>
      </x:c>
      <x:c r="H44" s="1"/>
      <x:c r="I44" s="1"/>
      <x:c r="J44" s="1"/>
      <x:c r="K44" s="1"/>
      <x:c r="L44" s="1"/>
    </x:row>
    <x:row r="45">
      <x:c r="A45" s="33" t="str">
        <x:v>C</x:v>
      </x:c>
      <x:c r="B45" s="19"/>
      <x:c r="C45" s="19"/>
      <x:c r="D45" s="55" t="n">
        <x:v>6</x:v>
      </x:c>
      <x:c r="E45" s="65"/>
      <x:c r="F45" s="71" t="str">
        <x:f>IF(OR(A45="",B45="",E45=""),"",COUNTIFS($A$6:$A$90,A45,$E$6:$E$90,"&gt;"&amp;E45)+1)</x:f>
      </x:c>
      <x:c r="G45" s="71" t="str">
        <x:f>IF(F45="","",F45)</x:f>
      </x:c>
      <x:c r="H45" s="1"/>
      <x:c r="I45" s="1"/>
      <x:c r="J45" s="1"/>
      <x:c r="K45" s="1"/>
      <x:c r="L45" s="1"/>
    </x:row>
    <x:row r="46">
      <x:c r="A46" s="33" t="str">
        <x:v>C</x:v>
      </x:c>
      <x:c r="B46" s="19"/>
      <x:c r="C46" s="19"/>
      <x:c r="D46" s="55" t="n">
        <x:v>7</x:v>
      </x:c>
      <x:c r="E46" s="65"/>
      <x:c r="F46" s="71" t="str">
        <x:f>IF(OR(A46="",B46="",E46=""),"",COUNTIFS($A$6:$A$90,A46,$E$6:$E$90,"&gt;"&amp;E46)+1)</x:f>
      </x:c>
      <x:c r="G46" s="71" t="str">
        <x:f>IF(F46="","",F46)</x:f>
      </x:c>
      <x:c r="H46" s="1"/>
      <x:c r="I46" s="1"/>
      <x:c r="J46" s="1"/>
      <x:c r="K46" s="1"/>
      <x:c r="L46" s="1"/>
    </x:row>
    <x:row r="47">
      <x:c r="A47" s="33" t="str">
        <x:v>C</x:v>
      </x:c>
      <x:c r="B47" s="19"/>
      <x:c r="C47" s="19"/>
      <x:c r="D47" s="55" t="n">
        <x:v>8</x:v>
      </x:c>
      <x:c r="E47" s="65"/>
      <x:c r="F47" s="71" t="str">
        <x:f>IF(OR(A47="",B47="",E47=""),"",COUNTIFS($A$6:$A$90,A47,$E$6:$E$90,"&gt;"&amp;E47)+1)</x:f>
      </x:c>
      <x:c r="G47" s="71" t="str">
        <x:f>IF(F47="","",F47)</x:f>
      </x:c>
      <x:c r="H47" s="1"/>
      <x:c r="I47" s="1"/>
      <x:c r="J47" s="1"/>
      <x:c r="K47" s="1"/>
      <x:c r="L47" s="1"/>
    </x:row>
    <x:row r="48">
      <x:c r="A48" s="33" t="str">
        <x:v>C</x:v>
      </x:c>
      <x:c r="B48" s="19"/>
      <x:c r="C48" s="19"/>
      <x:c r="D48" s="55" t="n">
        <x:v>9</x:v>
      </x:c>
      <x:c r="E48" s="65"/>
      <x:c r="F48" s="71" t="str">
        <x:f>IF(OR(A48="",B48="",E48=""),"",COUNTIFS($A$6:$A$90,A48,$E$6:$E$90,"&gt;"&amp;E48)+1)</x:f>
      </x:c>
      <x:c r="G48" s="71" t="str">
        <x:f>IF(F48="","",F48)</x:f>
      </x:c>
      <x:c r="H48" s="1"/>
      <x:c r="I48" s="1"/>
      <x:c r="J48" s="1"/>
      <x:c r="K48" s="1"/>
      <x:c r="L48" s="1"/>
    </x:row>
    <x:row r="49">
      <x:c r="A49" s="33" t="str">
        <x:v>C</x:v>
      </x:c>
      <x:c r="B49" s="19"/>
      <x:c r="C49" s="19"/>
      <x:c r="D49" s="55" t="n">
        <x:v>10</x:v>
      </x:c>
      <x:c r="E49" s="65"/>
      <x:c r="F49" s="71" t="str">
        <x:f>IF(OR(A49="",B49="",E49=""),"",COUNTIFS($A$6:$A$90,A49,$E$6:$E$90,"&gt;"&amp;E49)+1)</x:f>
      </x:c>
      <x:c r="G49" s="71" t="str">
        <x:f>IF(F49="","",F49)</x:f>
      </x:c>
      <x:c r="H49" s="1"/>
      <x:c r="I49" s="1"/>
      <x:c r="J49" s="1"/>
      <x:c r="K49" s="1"/>
      <x:c r="L49" s="1"/>
    </x:row>
    <x:row r="50">
      <x:c r="A50" s="33" t="str">
        <x:v>C</x:v>
      </x:c>
      <x:c r="B50" s="19"/>
      <x:c r="C50" s="19"/>
      <x:c r="D50" s="55" t="n">
        <x:v>11</x:v>
      </x:c>
      <x:c r="E50" s="65"/>
      <x:c r="F50" s="71" t="str">
        <x:f>IF(OR(A50="",B50="",E50=""),"",COUNTIFS($A$6:$A$90,A50,$E$6:$E$90,"&gt;"&amp;E50)+1)</x:f>
      </x:c>
      <x:c r="G50" s="71" t="str">
        <x:f>IF(F50="","",F50)</x:f>
      </x:c>
      <x:c r="H50" s="1"/>
      <x:c r="I50" s="1"/>
      <x:c r="J50" s="1"/>
      <x:c r="K50" s="1"/>
      <x:c r="L50" s="1"/>
    </x:row>
    <x:row r="51">
      <x:c r="A51" s="33" t="str">
        <x:v>C</x:v>
      </x:c>
      <x:c r="B51" s="19"/>
      <x:c r="C51" s="19"/>
      <x:c r="D51" s="55" t="n">
        <x:v>12</x:v>
      </x:c>
      <x:c r="E51" s="65"/>
      <x:c r="F51" s="71" t="str">
        <x:f>IF(OR(A51="",B51="",E51=""),"",COUNTIFS($A$6:$A$90,A51,$E$6:$E$90,"&gt;"&amp;E51)+1)</x:f>
      </x:c>
      <x:c r="G51" s="71" t="str">
        <x:f>IF(F51="","",F51)</x:f>
      </x:c>
      <x:c r="H51" s="1"/>
      <x:c r="I51" s="1"/>
      <x:c r="J51" s="1"/>
      <x:c r="K51" s="1"/>
      <x:c r="L51" s="1"/>
    </x:row>
    <x:row r="52">
      <x:c r="A52" s="33" t="str">
        <x:v>C</x:v>
      </x:c>
      <x:c r="B52" s="19"/>
      <x:c r="C52" s="19"/>
      <x:c r="D52" s="55" t="n">
        <x:v>13</x:v>
      </x:c>
      <x:c r="E52" s="65"/>
      <x:c r="F52" s="71" t="str">
        <x:f>IF(OR(A52="",B52="",E52=""),"",COUNTIFS($A$6:$A$90,A52,$E$6:$E$90,"&gt;"&amp;E52)+1)</x:f>
      </x:c>
      <x:c r="G52" s="71" t="str">
        <x:f>IF(F52="","",F52)</x:f>
      </x:c>
      <x:c r="H52" s="1"/>
      <x:c r="I52" s="1"/>
      <x:c r="J52" s="1"/>
      <x:c r="K52" s="1"/>
      <x:c r="L52" s="1"/>
    </x:row>
    <x:row r="53">
      <x:c r="A53" s="33" t="str">
        <x:v>C</x:v>
      </x:c>
      <x:c r="B53" s="19"/>
      <x:c r="C53" s="19"/>
      <x:c r="D53" s="55" t="n">
        <x:v>14</x:v>
      </x:c>
      <x:c r="E53" s="65"/>
      <x:c r="F53" s="71" t="str">
        <x:f>IF(OR(A53="",B53="",E53=""),"",COUNTIFS($A$6:$A$90,A53,$E$6:$E$90,"&gt;"&amp;E53)+1)</x:f>
      </x:c>
      <x:c r="G53" s="71" t="str">
        <x:f>IF(F53="","",F53)</x:f>
      </x:c>
      <x:c r="H53" s="1"/>
      <x:c r="I53" s="1"/>
      <x:c r="J53" s="1"/>
      <x:c r="K53" s="1"/>
      <x:c r="L53" s="1"/>
    </x:row>
    <x:row r="54">
      <x:c r="A54" s="33" t="str">
        <x:v>C</x:v>
      </x:c>
      <x:c r="B54" s="19"/>
      <x:c r="C54" s="19"/>
      <x:c r="D54" s="55" t="n">
        <x:v>15</x:v>
      </x:c>
      <x:c r="E54" s="65"/>
      <x:c r="F54" s="71" t="str">
        <x:f>IF(OR(A54="",B54="",E54=""),"",COUNTIFS($A$6:$A$90,A54,$E$6:$E$90,"&gt;"&amp;E54)+1)</x:f>
      </x:c>
      <x:c r="G54" s="71" t="str">
        <x:f>IF(F54="","",F54)</x:f>
      </x:c>
      <x:c r="H54" s="1"/>
      <x:c r="I54" s="1"/>
      <x:c r="J54" s="1"/>
      <x:c r="K54" s="1"/>
      <x:c r="L54" s="1"/>
    </x:row>
    <x:row r="55">
      <x:c r="A55" s="33" t="str">
        <x:v>C</x:v>
      </x:c>
      <x:c r="B55" s="19"/>
      <x:c r="C55" s="19"/>
      <x:c r="D55" s="55" t="n">
        <x:v>16</x:v>
      </x:c>
      <x:c r="E55" s="65"/>
      <x:c r="F55" s="71" t="str">
        <x:f>IF(OR(A55="",B55="",E55=""),"",COUNTIFS($A$6:$A$90,A55,$E$6:$E$90,"&gt;"&amp;E55)+1)</x:f>
      </x:c>
      <x:c r="G55" s="71" t="str">
        <x:f>IF(F55="","",F55)</x:f>
      </x:c>
      <x:c r="H55" s="1"/>
      <x:c r="I55" s="1"/>
      <x:c r="J55" s="1"/>
      <x:c r="K55" s="1"/>
      <x:c r="L55" s="1"/>
    </x:row>
    <x:row r="56">
      <x:c r="A56" s="33" t="str">
        <x:v>C</x:v>
      </x:c>
      <x:c r="B56" s="19"/>
      <x:c r="C56" s="19"/>
      <x:c r="D56" s="55" t="n">
        <x:v>17</x:v>
      </x:c>
      <x:c r="E56" s="65"/>
      <x:c r="F56" s="71" t="str">
        <x:f>IF(OR(A56="",B56="",E56=""),"",COUNTIFS($A$6:$A$90,A56,$E$6:$E$90,"&gt;"&amp;E56)+1)</x:f>
      </x:c>
      <x:c r="G56" s="71" t="str">
        <x:f>IF(F56="","",F56)</x:f>
      </x:c>
      <x:c r="H56" s="1"/>
      <x:c r="I56" s="1"/>
      <x:c r="J56" s="1"/>
      <x:c r="K56" s="1"/>
      <x:c r="L56" s="1"/>
    </x:row>
    <x:row r="57">
      <x:c r="A57" s="34" t="str">
        <x:v>D</x:v>
      </x:c>
      <x:c r="B57" s="26"/>
      <x:c r="C57" s="26"/>
      <x:c r="D57" s="56" t="n">
        <x:v>1</x:v>
      </x:c>
      <x:c r="E57" s="66"/>
      <x:c r="F57" s="70" t="str">
        <x:f>IF(OR(A57="",B57="",E57=""),"",COUNTIFS($A$6:$A$90,A57,$E$6:$E$90,"&gt;"&amp;E57)+1)</x:f>
      </x:c>
      <x:c r="G57" s="70" t="str">
        <x:f>IF(F57="","",F57)</x:f>
      </x:c>
      <x:c r="H57" s="1"/>
      <x:c r="I57" s="1"/>
      <x:c r="J57" s="1"/>
      <x:c r="K57" s="1"/>
      <x:c r="L57" s="1"/>
    </x:row>
    <x:row r="58">
      <x:c r="A58" s="35" t="str">
        <x:v>D</x:v>
      </x:c>
      <x:c r="B58" s="20"/>
      <x:c r="C58" s="20"/>
      <x:c r="D58" s="57" t="n">
        <x:v>2</x:v>
      </x:c>
      <x:c r="E58" s="67"/>
      <x:c r="F58" s="71" t="str">
        <x:f>IF(OR(A58="",B58="",E58=""),"",COUNTIFS($A$6:$A$90,A58,$E$6:$E$90,"&gt;"&amp;E58)+1)</x:f>
      </x:c>
      <x:c r="G58" s="71" t="str">
        <x:f>IF(F58="","",F58)</x:f>
      </x:c>
      <x:c r="H58" s="1"/>
      <x:c r="I58" s="1"/>
      <x:c r="J58" s="1"/>
      <x:c r="K58" s="1"/>
      <x:c r="L58" s="1"/>
    </x:row>
    <x:row r="59">
      <x:c r="A59" s="35" t="str">
        <x:v>D</x:v>
      </x:c>
      <x:c r="B59" s="20"/>
      <x:c r="C59" s="20"/>
      <x:c r="D59" s="57" t="n">
        <x:v>3</x:v>
      </x:c>
      <x:c r="E59" s="67"/>
      <x:c r="F59" s="71" t="str">
        <x:f>IF(OR(A59="",B59="",E59=""),"",COUNTIFS($A$6:$A$90,A59,$E$6:$E$90,"&gt;"&amp;E59)+1)</x:f>
      </x:c>
      <x:c r="G59" s="71" t="str">
        <x:f>IF(F59="","",F59)</x:f>
      </x:c>
      <x:c r="H59" s="1"/>
      <x:c r="I59" s="1"/>
      <x:c r="J59" s="1"/>
      <x:c r="K59" s="1"/>
      <x:c r="L59" s="1"/>
    </x:row>
    <x:row r="60">
      <x:c r="A60" s="35" t="str">
        <x:v>D</x:v>
      </x:c>
      <x:c r="B60" s="20"/>
      <x:c r="C60" s="20"/>
      <x:c r="D60" s="57" t="n">
        <x:v>4</x:v>
      </x:c>
      <x:c r="E60" s="67"/>
      <x:c r="F60" s="71" t="str">
        <x:f>IF(OR(A60="",B60="",E60=""),"",COUNTIFS($A$6:$A$90,A60,$E$6:$E$90,"&gt;"&amp;E60)+1)</x:f>
      </x:c>
      <x:c r="G60" s="71" t="str">
        <x:f>IF(F60="","",F60)</x:f>
      </x:c>
      <x:c r="H60" s="1"/>
      <x:c r="I60" s="1"/>
      <x:c r="J60" s="1"/>
      <x:c r="K60" s="1"/>
      <x:c r="L60" s="1"/>
    </x:row>
    <x:row r="61">
      <x:c r="A61" s="35" t="str">
        <x:v>D</x:v>
      </x:c>
      <x:c r="B61" s="20"/>
      <x:c r="C61" s="20"/>
      <x:c r="D61" s="57" t="n">
        <x:v>5</x:v>
      </x:c>
      <x:c r="E61" s="67"/>
      <x:c r="F61" s="71" t="str">
        <x:f>IF(OR(A61="",B61="",E61=""),"",COUNTIFS($A$6:$A$90,A61,$E$6:$E$90,"&gt;"&amp;E61)+1)</x:f>
      </x:c>
      <x:c r="G61" s="71" t="str">
        <x:f>IF(F61="","",F61)</x:f>
      </x:c>
      <x:c r="H61" s="1"/>
      <x:c r="I61" s="1"/>
      <x:c r="J61" s="1"/>
      <x:c r="K61" s="1"/>
      <x:c r="L61" s="1"/>
    </x:row>
    <x:row r="62">
      <x:c r="A62" s="35" t="str">
        <x:v>D</x:v>
      </x:c>
      <x:c r="B62" s="20"/>
      <x:c r="C62" s="20"/>
      <x:c r="D62" s="57" t="n">
        <x:v>6</x:v>
      </x:c>
      <x:c r="E62" s="67"/>
      <x:c r="F62" s="71" t="str">
        <x:f>IF(OR(A62="",B62="",E62=""),"",COUNTIFS($A$6:$A$90,A62,$E$6:$E$90,"&gt;"&amp;E62)+1)</x:f>
      </x:c>
      <x:c r="G62" s="71" t="str">
        <x:f>IF(F62="","",F62)</x:f>
      </x:c>
      <x:c r="H62" s="1"/>
      <x:c r="I62" s="1"/>
      <x:c r="J62" s="1"/>
      <x:c r="K62" s="1"/>
      <x:c r="L62" s="1"/>
    </x:row>
    <x:row r="63">
      <x:c r="A63" s="35" t="str">
        <x:v>D</x:v>
      </x:c>
      <x:c r="B63" s="20"/>
      <x:c r="C63" s="20"/>
      <x:c r="D63" s="57" t="n">
        <x:v>7</x:v>
      </x:c>
      <x:c r="E63" s="67"/>
      <x:c r="F63" s="71" t="str">
        <x:f>IF(OR(A63="",B63="",E63=""),"",COUNTIFS($A$6:$A$90,A63,$E$6:$E$90,"&gt;"&amp;E63)+1)</x:f>
      </x:c>
      <x:c r="G63" s="71" t="str">
        <x:f>IF(F63="","",F63)</x:f>
      </x:c>
      <x:c r="H63" s="1"/>
      <x:c r="I63" s="1"/>
      <x:c r="J63" s="1"/>
      <x:c r="K63" s="1"/>
      <x:c r="L63" s="1"/>
    </x:row>
    <x:row r="64">
      <x:c r="A64" s="35" t="str">
        <x:v>D</x:v>
      </x:c>
      <x:c r="B64" s="20"/>
      <x:c r="C64" s="20"/>
      <x:c r="D64" s="57" t="n">
        <x:v>8</x:v>
      </x:c>
      <x:c r="E64" s="67"/>
      <x:c r="F64" s="71" t="str">
        <x:f>IF(OR(A64="",B64="",E64=""),"",COUNTIFS($A$6:$A$90,A64,$E$6:$E$90,"&gt;"&amp;E64)+1)</x:f>
      </x:c>
      <x:c r="G64" s="71" t="str">
        <x:f>IF(F64="","",F64)</x:f>
      </x:c>
      <x:c r="H64" s="1"/>
      <x:c r="I64" s="1"/>
      <x:c r="J64" s="1"/>
      <x:c r="K64" s="1"/>
      <x:c r="L64" s="1"/>
    </x:row>
    <x:row r="65">
      <x:c r="A65" s="35" t="str">
        <x:v>D</x:v>
      </x:c>
      <x:c r="B65" s="20"/>
      <x:c r="C65" s="20"/>
      <x:c r="D65" s="57" t="n">
        <x:v>9</x:v>
      </x:c>
      <x:c r="E65" s="67"/>
      <x:c r="F65" s="71" t="str">
        <x:f>IF(OR(A65="",B65="",E65=""),"",COUNTIFS($A$6:$A$90,A65,$E$6:$E$90,"&gt;"&amp;E65)+1)</x:f>
      </x:c>
      <x:c r="G65" s="71" t="str">
        <x:f>IF(F65="","",F65)</x:f>
      </x:c>
      <x:c r="H65" s="1"/>
      <x:c r="I65" s="1"/>
      <x:c r="J65" s="1"/>
      <x:c r="K65" s="1"/>
      <x:c r="L65" s="1"/>
    </x:row>
    <x:row r="66">
      <x:c r="A66" s="35" t="str">
        <x:v>D</x:v>
      </x:c>
      <x:c r="B66" s="20"/>
      <x:c r="C66" s="20"/>
      <x:c r="D66" s="57" t="n">
        <x:v>10</x:v>
      </x:c>
      <x:c r="E66" s="67"/>
      <x:c r="F66" s="71" t="str">
        <x:f>IF(OR(A66="",B66="",E66=""),"",COUNTIFS($A$6:$A$90,A66,$E$6:$E$90,"&gt;"&amp;E66)+1)</x:f>
      </x:c>
      <x:c r="G66" s="71" t="str">
        <x:f>IF(F66="","",F66)</x:f>
      </x:c>
      <x:c r="H66" s="1"/>
      <x:c r="I66" s="1"/>
      <x:c r="J66" s="1"/>
      <x:c r="K66" s="1"/>
      <x:c r="L66" s="1"/>
    </x:row>
    <x:row r="67">
      <x:c r="A67" s="35" t="str">
        <x:v>D</x:v>
      </x:c>
      <x:c r="B67" s="20"/>
      <x:c r="C67" s="20"/>
      <x:c r="D67" s="57" t="n">
        <x:v>11</x:v>
      </x:c>
      <x:c r="E67" s="67"/>
      <x:c r="F67" s="71" t="str">
        <x:f>IF(OR(A67="",B67="",E67=""),"",COUNTIFS($A$6:$A$90,A67,$E$6:$E$90,"&gt;"&amp;E67)+1)</x:f>
      </x:c>
      <x:c r="G67" s="71" t="str">
        <x:f>IF(F67="","",F67)</x:f>
      </x:c>
      <x:c r="H67" s="1"/>
      <x:c r="I67" s="1"/>
      <x:c r="J67" s="1"/>
      <x:c r="K67" s="1"/>
      <x:c r="L67" s="1"/>
    </x:row>
    <x:row r="68">
      <x:c r="A68" s="35" t="str">
        <x:v>D</x:v>
      </x:c>
      <x:c r="B68" s="20"/>
      <x:c r="C68" s="20"/>
      <x:c r="D68" s="57" t="n">
        <x:v>12</x:v>
      </x:c>
      <x:c r="E68" s="67"/>
      <x:c r="F68" s="71" t="str">
        <x:f>IF(OR(A68="",B68="",E68=""),"",COUNTIFS($A$6:$A$90,A68,$E$6:$E$90,"&gt;"&amp;E68)+1)</x:f>
      </x:c>
      <x:c r="G68" s="71" t="str">
        <x:f>IF(F68="","",F68)</x:f>
      </x:c>
      <x:c r="H68" s="1"/>
      <x:c r="I68" s="1"/>
      <x:c r="J68" s="1"/>
      <x:c r="K68" s="1"/>
      <x:c r="L68" s="1"/>
    </x:row>
    <x:row r="69">
      <x:c r="A69" s="35" t="str">
        <x:v>D</x:v>
      </x:c>
      <x:c r="B69" s="20"/>
      <x:c r="C69" s="20"/>
      <x:c r="D69" s="57" t="n">
        <x:v>13</x:v>
      </x:c>
      <x:c r="E69" s="67"/>
      <x:c r="F69" s="71" t="str">
        <x:f>IF(OR(A69="",B69="",E69=""),"",COUNTIFS($A$6:$A$90,A69,$E$6:$E$90,"&gt;"&amp;E69)+1)</x:f>
      </x:c>
      <x:c r="G69" s="71" t="str">
        <x:f>IF(F69="","",F69)</x:f>
      </x:c>
      <x:c r="H69" s="1"/>
      <x:c r="I69" s="1"/>
      <x:c r="J69" s="1"/>
      <x:c r="K69" s="1"/>
      <x:c r="L69" s="1"/>
    </x:row>
    <x:row r="70">
      <x:c r="A70" s="35" t="str">
        <x:v>D</x:v>
      </x:c>
      <x:c r="B70" s="20"/>
      <x:c r="C70" s="20"/>
      <x:c r="D70" s="57" t="n">
        <x:v>14</x:v>
      </x:c>
      <x:c r="E70" s="67"/>
      <x:c r="F70" s="71" t="str">
        <x:f>IF(OR(A70="",B70="",E70=""),"",COUNTIFS($A$6:$A$90,A70,$E$6:$E$90,"&gt;"&amp;E70)+1)</x:f>
      </x:c>
      <x:c r="G70" s="71" t="str">
        <x:f>IF(F70="","",F70)</x:f>
      </x:c>
      <x:c r="H70" s="1"/>
      <x:c r="I70" s="1"/>
      <x:c r="J70" s="1"/>
      <x:c r="K70" s="1"/>
      <x:c r="L70" s="1"/>
    </x:row>
    <x:row r="71">
      <x:c r="A71" s="35" t="str">
        <x:v>D</x:v>
      </x:c>
      <x:c r="B71" s="20"/>
      <x:c r="C71" s="20"/>
      <x:c r="D71" s="57" t="n">
        <x:v>15</x:v>
      </x:c>
      <x:c r="E71" s="67"/>
      <x:c r="F71" s="71" t="str">
        <x:f>IF(OR(A71="",B71="",E71=""),"",COUNTIFS($A$6:$A$90,A71,$E$6:$E$90,"&gt;"&amp;E71)+1)</x:f>
      </x:c>
      <x:c r="G71" s="71" t="str">
        <x:f>IF(F71="","",F71)</x:f>
      </x:c>
      <x:c r="H71" s="1"/>
      <x:c r="I71" s="1"/>
      <x:c r="J71" s="1"/>
      <x:c r="K71" s="1"/>
      <x:c r="L71" s="1"/>
    </x:row>
    <x:row r="72">
      <x:c r="A72" s="35" t="str">
        <x:v>D</x:v>
      </x:c>
      <x:c r="B72" s="20"/>
      <x:c r="C72" s="20"/>
      <x:c r="D72" s="57" t="n">
        <x:v>16</x:v>
      </x:c>
      <x:c r="E72" s="67"/>
      <x:c r="F72" s="71" t="str">
        <x:f>IF(OR(A72="",B72="",E72=""),"",COUNTIFS($A$6:$A$90,A72,$E$6:$E$90,"&gt;"&amp;E72)+1)</x:f>
      </x:c>
      <x:c r="G72" s="71" t="str">
        <x:f>IF(F72="","",F72)</x:f>
      </x:c>
      <x:c r="H72" s="1"/>
      <x:c r="I72" s="1"/>
      <x:c r="J72" s="1"/>
      <x:c r="K72" s="1"/>
      <x:c r="L72" s="1"/>
    </x:row>
    <x:row r="73">
      <x:c r="A73" s="35" t="str">
        <x:v>D</x:v>
      </x:c>
      <x:c r="B73" s="20"/>
      <x:c r="C73" s="20"/>
      <x:c r="D73" s="57" t="n">
        <x:v>17</x:v>
      </x:c>
      <x:c r="E73" s="67"/>
      <x:c r="F73" s="71" t="str">
        <x:f>IF(OR(A73="",B73="",E73=""),"",COUNTIFS($A$6:$A$90,A73,$E$6:$E$90,"&gt;"&amp;E73)+1)</x:f>
      </x:c>
      <x:c r="G73" s="71" t="str">
        <x:f>IF(F73="","",F73)</x:f>
      </x:c>
      <x:c r="H73" s="1"/>
      <x:c r="I73" s="1"/>
      <x:c r="J73" s="1"/>
      <x:c r="K73" s="1"/>
      <x:c r="L73" s="1"/>
    </x:row>
    <x:row r="74">
      <x:c r="A74" s="36" t="str">
        <x:v>E</x:v>
      </x:c>
      <x:c r="B74" s="27"/>
      <x:c r="C74" s="27"/>
      <x:c r="D74" s="58" t="n">
        <x:v>1</x:v>
      </x:c>
      <x:c r="E74" s="68"/>
      <x:c r="F74" s="70" t="str">
        <x:f>IF(OR(A74="",B74="",E74=""),"",COUNTIFS($A$6:$A$90,A74,$E$6:$E$90,"&gt;"&amp;E74)+1)</x:f>
      </x:c>
      <x:c r="G74" s="70" t="str">
        <x:f>IF(F74="","",F74)</x:f>
      </x:c>
      <x:c r="H74" s="1"/>
      <x:c r="I74" s="1"/>
      <x:c r="J74" s="1"/>
      <x:c r="K74" s="1"/>
      <x:c r="L74" s="1"/>
    </x:row>
    <x:row r="75">
      <x:c r="A75" s="37" t="str">
        <x:v>E</x:v>
      </x:c>
      <x:c r="B75" s="21"/>
      <x:c r="C75" s="21"/>
      <x:c r="D75" s="59" t="n">
        <x:v>2</x:v>
      </x:c>
      <x:c r="E75" s="69"/>
      <x:c r="F75" s="71" t="str">
        <x:f>IF(OR(A75="",B75="",E75=""),"",COUNTIFS($A$6:$A$90,A75,$E$6:$E$90,"&gt;"&amp;E75)+1)</x:f>
      </x:c>
      <x:c r="G75" s="71" t="str">
        <x:f>IF(F75="","",F75)</x:f>
      </x:c>
      <x:c r="H75" s="1"/>
      <x:c r="I75" s="1"/>
      <x:c r="J75" s="1"/>
      <x:c r="K75" s="1"/>
      <x:c r="L75" s="1"/>
    </x:row>
    <x:row r="76">
      <x:c r="A76" s="37" t="str">
        <x:v>E</x:v>
      </x:c>
      <x:c r="B76" s="21"/>
      <x:c r="C76" s="21"/>
      <x:c r="D76" s="59" t="n">
        <x:v>3</x:v>
      </x:c>
      <x:c r="E76" s="69"/>
      <x:c r="F76" s="71" t="str">
        <x:f>IF(OR(A76="",B76="",E76=""),"",COUNTIFS($A$6:$A$90,A76,$E$6:$E$90,"&gt;"&amp;E76)+1)</x:f>
      </x:c>
      <x:c r="G76" s="71" t="str">
        <x:f>IF(F76="","",F76)</x:f>
      </x:c>
      <x:c r="H76" s="1"/>
      <x:c r="I76" s="1"/>
      <x:c r="J76" s="1"/>
      <x:c r="K76" s="1"/>
      <x:c r="L76" s="1"/>
    </x:row>
    <x:row r="77">
      <x:c r="A77" s="37" t="str">
        <x:v>E</x:v>
      </x:c>
      <x:c r="B77" s="21"/>
      <x:c r="C77" s="21"/>
      <x:c r="D77" s="59" t="n">
        <x:v>4</x:v>
      </x:c>
      <x:c r="E77" s="69"/>
      <x:c r="F77" s="71" t="str">
        <x:f>IF(OR(A77="",B77="",E77=""),"",COUNTIFS($A$6:$A$90,A77,$E$6:$E$90,"&gt;"&amp;E77)+1)</x:f>
      </x:c>
      <x:c r="G77" s="71" t="str">
        <x:f>IF(F77="","",F77)</x:f>
      </x:c>
      <x:c r="H77" s="1"/>
      <x:c r="I77" s="1"/>
      <x:c r="J77" s="1"/>
      <x:c r="K77" s="1"/>
      <x:c r="L77" s="1"/>
    </x:row>
    <x:row r="78">
      <x:c r="A78" s="37" t="str">
        <x:v>E</x:v>
      </x:c>
      <x:c r="B78" s="21"/>
      <x:c r="C78" s="21"/>
      <x:c r="D78" s="59" t="n">
        <x:v>5</x:v>
      </x:c>
      <x:c r="E78" s="69"/>
      <x:c r="F78" s="71" t="str">
        <x:f>IF(OR(A78="",B78="",E78=""),"",COUNTIFS($A$6:$A$90,A78,$E$6:$E$90,"&gt;"&amp;E78)+1)</x:f>
      </x:c>
      <x:c r="G78" s="71" t="str">
        <x:f>IF(F78="","",F78)</x:f>
      </x:c>
      <x:c r="H78" s="1"/>
      <x:c r="I78" s="1"/>
      <x:c r="J78" s="1"/>
      <x:c r="K78" s="1"/>
      <x:c r="L78" s="1"/>
    </x:row>
    <x:row r="79">
      <x:c r="A79" s="37" t="str">
        <x:v>E</x:v>
      </x:c>
      <x:c r="B79" s="21"/>
      <x:c r="C79" s="21"/>
      <x:c r="D79" s="59" t="n">
        <x:v>6</x:v>
      </x:c>
      <x:c r="E79" s="69"/>
      <x:c r="F79" s="71" t="str">
        <x:f>IF(OR(A79="",B79="",E79=""),"",COUNTIFS($A$6:$A$90,A79,$E$6:$E$90,"&gt;"&amp;E79)+1)</x:f>
      </x:c>
      <x:c r="G79" s="71" t="str">
        <x:f>IF(F79="","",F79)</x:f>
      </x:c>
      <x:c r="H79" s="1"/>
      <x:c r="I79" s="1"/>
      <x:c r="J79" s="1"/>
      <x:c r="K79" s="1"/>
      <x:c r="L79" s="1"/>
    </x:row>
    <x:row r="80">
      <x:c r="A80" s="37" t="str">
        <x:v>E</x:v>
      </x:c>
      <x:c r="B80" s="21"/>
      <x:c r="C80" s="21"/>
      <x:c r="D80" s="59" t="n">
        <x:v>7</x:v>
      </x:c>
      <x:c r="E80" s="69"/>
      <x:c r="F80" s="71" t="str">
        <x:f>IF(OR(A80="",B80="",E80=""),"",COUNTIFS($A$6:$A$90,A80,$E$6:$E$90,"&gt;"&amp;E80)+1)</x:f>
      </x:c>
      <x:c r="G80" s="71" t="str">
        <x:f>IF(F80="","",F80)</x:f>
      </x:c>
      <x:c r="H80" s="1"/>
      <x:c r="I80" s="1"/>
      <x:c r="J80" s="1"/>
      <x:c r="K80" s="1"/>
      <x:c r="L80" s="1"/>
    </x:row>
    <x:row r="81">
      <x:c r="A81" s="37" t="str">
        <x:v>E</x:v>
      </x:c>
      <x:c r="B81" s="21"/>
      <x:c r="C81" s="21"/>
      <x:c r="D81" s="59" t="n">
        <x:v>8</x:v>
      </x:c>
      <x:c r="E81" s="69"/>
      <x:c r="F81" s="71" t="str">
        <x:f>IF(OR(A81="",B81="",E81=""),"",COUNTIFS($A$6:$A$90,A81,$E$6:$E$90,"&gt;"&amp;E81)+1)</x:f>
      </x:c>
      <x:c r="G81" s="71" t="str">
        <x:f>IF(F81="","",F81)</x:f>
      </x:c>
      <x:c r="H81" s="1"/>
      <x:c r="I81" s="1"/>
      <x:c r="J81" s="1"/>
      <x:c r="K81" s="1"/>
      <x:c r="L81" s="1"/>
    </x:row>
    <x:row r="82">
      <x:c r="A82" s="37" t="str">
        <x:v>E</x:v>
      </x:c>
      <x:c r="B82" s="21"/>
      <x:c r="C82" s="21"/>
      <x:c r="D82" s="59" t="n">
        <x:v>9</x:v>
      </x:c>
      <x:c r="E82" s="69"/>
      <x:c r="F82" s="71" t="str">
        <x:f>IF(OR(A82="",B82="",E82=""),"",COUNTIFS($A$6:$A$90,A82,$E$6:$E$90,"&gt;"&amp;E82)+1)</x:f>
      </x:c>
      <x:c r="G82" s="71" t="str">
        <x:f>IF(F82="","",F82)</x:f>
      </x:c>
      <x:c r="H82" s="1"/>
      <x:c r="I82" s="1"/>
      <x:c r="J82" s="1"/>
      <x:c r="K82" s="1"/>
      <x:c r="L82" s="1"/>
    </x:row>
    <x:row r="83">
      <x:c r="A83" s="37" t="str">
        <x:v>E</x:v>
      </x:c>
      <x:c r="B83" s="21"/>
      <x:c r="C83" s="21"/>
      <x:c r="D83" s="59" t="n">
        <x:v>10</x:v>
      </x:c>
      <x:c r="E83" s="69"/>
      <x:c r="F83" s="71" t="str">
        <x:f>IF(OR(A83="",B83="",E83=""),"",COUNTIFS($A$6:$A$90,A83,$E$6:$E$90,"&gt;"&amp;E83)+1)</x:f>
      </x:c>
      <x:c r="G83" s="71" t="str">
        <x:f>IF(F83="","",F83)</x:f>
      </x:c>
      <x:c r="H83" s="1"/>
      <x:c r="I83" s="1"/>
      <x:c r="J83" s="1"/>
      <x:c r="K83" s="1"/>
      <x:c r="L83" s="1"/>
    </x:row>
    <x:row r="84">
      <x:c r="A84" s="37" t="str">
        <x:v>E</x:v>
      </x:c>
      <x:c r="B84" s="21"/>
      <x:c r="C84" s="21"/>
      <x:c r="D84" s="59" t="n">
        <x:v>11</x:v>
      </x:c>
      <x:c r="E84" s="69"/>
      <x:c r="F84" s="71" t="str">
        <x:f>IF(OR(A84="",B84="",E84=""),"",COUNTIFS($A$6:$A$90,A84,$E$6:$E$90,"&gt;"&amp;E84)+1)</x:f>
      </x:c>
      <x:c r="G84" s="71" t="str">
        <x:f>IF(F84="","",F84)</x:f>
      </x:c>
      <x:c r="H84" s="1"/>
      <x:c r="I84" s="1"/>
      <x:c r="J84" s="1"/>
      <x:c r="K84" s="1"/>
      <x:c r="L84" s="1"/>
    </x:row>
    <x:row r="85">
      <x:c r="A85" s="37" t="str">
        <x:v>E</x:v>
      </x:c>
      <x:c r="B85" s="21"/>
      <x:c r="C85" s="21"/>
      <x:c r="D85" s="59" t="n">
        <x:v>12</x:v>
      </x:c>
      <x:c r="E85" s="69"/>
      <x:c r="F85" s="71" t="str">
        <x:f>IF(OR(A85="",B85="",E85=""),"",COUNTIFS($A$6:$A$90,A85,$E$6:$E$90,"&gt;"&amp;E85)+1)</x:f>
      </x:c>
      <x:c r="G85" s="71" t="str">
        <x:f>IF(F85="","",F85)</x:f>
      </x:c>
      <x:c r="H85" s="1"/>
      <x:c r="I85" s="1"/>
      <x:c r="J85" s="1"/>
      <x:c r="K85" s="1"/>
      <x:c r="L85" s="1"/>
    </x:row>
    <x:row r="86">
      <x:c r="A86" s="37" t="str">
        <x:v>E</x:v>
      </x:c>
      <x:c r="B86" s="21"/>
      <x:c r="C86" s="21"/>
      <x:c r="D86" s="59" t="n">
        <x:v>13</x:v>
      </x:c>
      <x:c r="E86" s="69"/>
      <x:c r="F86" s="71" t="str">
        <x:f>IF(OR(A86="",B86="",E86=""),"",COUNTIFS($A$6:$A$90,A86,$E$6:$E$90,"&gt;"&amp;E86)+1)</x:f>
      </x:c>
      <x:c r="G86" s="71" t="str">
        <x:f>IF(F86="","",F86)</x:f>
      </x:c>
      <x:c r="H86" s="1"/>
      <x:c r="I86" s="1"/>
      <x:c r="J86" s="1"/>
      <x:c r="K86" s="1"/>
      <x:c r="L86" s="1"/>
    </x:row>
    <x:row r="87">
      <x:c r="A87" s="37" t="str">
        <x:v>E</x:v>
      </x:c>
      <x:c r="B87" s="21"/>
      <x:c r="C87" s="21"/>
      <x:c r="D87" s="59" t="n">
        <x:v>14</x:v>
      </x:c>
      <x:c r="E87" s="69"/>
      <x:c r="F87" s="71" t="str">
        <x:f>IF(OR(A87="",B87="",E87=""),"",COUNTIFS($A$6:$A$90,A87,$E$6:$E$90,"&gt;"&amp;E87)+1)</x:f>
      </x:c>
      <x:c r="G87" s="71" t="str">
        <x:f>IF(F87="","",F87)</x:f>
      </x:c>
      <x:c r="H87" s="1"/>
      <x:c r="I87" s="1"/>
      <x:c r="J87" s="1"/>
      <x:c r="K87" s="1"/>
      <x:c r="L87" s="1"/>
    </x:row>
    <x:row r="88">
      <x:c r="A88" s="37" t="str">
        <x:v>E</x:v>
      </x:c>
      <x:c r="B88" s="21"/>
      <x:c r="C88" s="21"/>
      <x:c r="D88" s="59" t="n">
        <x:v>15</x:v>
      </x:c>
      <x:c r="E88" s="69"/>
      <x:c r="F88" s="71" t="str">
        <x:f>IF(OR(A88="",B88="",E88=""),"",COUNTIFS($A$6:$A$90,A88,$E$6:$E$90,"&gt;"&amp;E88)+1)</x:f>
      </x:c>
      <x:c r="G88" s="71" t="str">
        <x:f>IF(F88="","",F88)</x:f>
      </x:c>
      <x:c r="H88" s="1"/>
      <x:c r="I88" s="1"/>
      <x:c r="J88" s="1"/>
      <x:c r="K88" s="1"/>
      <x:c r="L88" s="1"/>
    </x:row>
    <x:row r="89">
      <x:c r="A89" s="37" t="str">
        <x:v>E</x:v>
      </x:c>
      <x:c r="B89" s="21"/>
      <x:c r="C89" s="21"/>
      <x:c r="D89" s="59" t="n">
        <x:v>16</x:v>
      </x:c>
      <x:c r="E89" s="69"/>
      <x:c r="F89" s="71" t="str">
        <x:f>IF(OR(A89="",B89="",E89=""),"",COUNTIFS($A$6:$A$90,A89,$E$6:$E$90,"&gt;"&amp;E89)+1)</x:f>
      </x:c>
      <x:c r="G89" s="71" t="str">
        <x:f>IF(F89="","",F89)</x:f>
      </x:c>
      <x:c r="H89" s="1"/>
      <x:c r="I89" s="1"/>
      <x:c r="J89" s="1"/>
      <x:c r="K89" s="1"/>
      <x:c r="L89" s="1"/>
    </x:row>
    <x:row r="90">
      <x:c r="A90" s="37" t="str">
        <x:v>E</x:v>
      </x:c>
      <x:c r="B90" s="21"/>
      <x:c r="C90" s="21"/>
      <x:c r="D90" s="59" t="n">
        <x:v>17</x:v>
      </x:c>
      <x:c r="E90" s="69"/>
      <x:c r="F90" s="71" t="str">
        <x:f>IF(OR(A90="",B90="",E90=""),"",COUNTIFS($A$6:$A$90,A90,$E$6:$E$90,"&gt;"&amp;E90)+1)</x:f>
      </x:c>
      <x:c r="G90" s="71" t="str">
        <x:f>IF(F90="","",F90)</x:f>
      </x:c>
      <x:c r="H90" s="1"/>
      <x:c r="I90" s="1"/>
      <x:c r="J90" s="1"/>
      <x:c r="K90" s="1"/>
      <x:c r="L90" s="1"/>
    </x:row>
  </x:sheetData>
  <x:mergeCells>
    <x:mergeCell ref="A1:G1"/>
    <x:mergeCell ref="A2:G2"/>
    <x:mergeCell ref="A3:G3"/>
    <x:mergeCell ref="I1:L1"/>
  </x:mergeCells>
  <x:conditionalFormatting sqref="F6:G90">
    <x:cfRule type="colorScale" priority="1">
      <x:colorScale>
        <x:cfvo type="min"/>
        <x:cfvo type="percentile" val="50"/>
        <x:cfvo type="max"/>
        <x:color rgb="FFD8F0E5"/>
        <x:color rgb="FFFFF2B8"/>
        <x:color rgb="FFF6C7C3"/>
      </x:colorScale>
    </x:cfRule>
  </x:conditionalFormatting>
  <x:dataValidations count="3">
    <x:dataValidation type="list" sqref="A6:A90">
      <x:formula1>"A,B,C,D,E"</x:formula1>
    </x:dataValidation>
    <x:dataValidation type="whole" operator="between" sqref="D6:D90">
      <x:formula1>1</x:formula1>
      <x:formula2>17</x:formula2>
    </x:dataValidation>
    <x:dataValidation type="whole" operator="between" sqref="E6:E9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3c2b8bdf05743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2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9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5" t="str">
        <x:v>VARŽYBŲ REZULTATAI – TREČIA DIENA</x:v>
      </x:c>
      <x:c r="B1" s="5"/>
      <x:c r="C1" s="5"/>
      <x:c r="D1" s="5"/>
      <x:c r="E1" s="5"/>
      <x:c r="F1" s="5"/>
      <x:c r="G1" s="5"/>
      <x:c r="H1" s="1"/>
      <x:c r="I1" s="74" t="str">
        <x:v>TREČIA DIENOS ZONŲ SUVESTINĖ</x:v>
      </x:c>
      <x:c r="J1" s="74"/>
      <x:c r="K1" s="74"/>
      <x:c r="L1" s="74"/>
    </x:row>
    <x:row r="2" ht="23" customHeight="1">
      <x:c r="A2" s="9" t="str">
        <x:v>Įvedami laukai: vardas pavardė, komanda, sektorius ir sugautas svoris gramais.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</x:row>
    <x:row r="3" ht="23" customHeight="1">
      <x:c r="A3" s="9" t="str">
        <x:v>Didžiausias svoris zonoje = 1 vieta = 1 baudos taškas.</x:v>
      </x:c>
      <x:c r="B3" s="9"/>
      <x:c r="C3" s="9"/>
      <x:c r="D3" s="9"/>
      <x:c r="E3" s="9"/>
      <x:c r="F3" s="9"/>
      <x:c r="G3" s="9"/>
      <x:c r="H3" s="1"/>
      <x:c r="I3" s="78" t="str">
        <x:v>Zona</x:v>
      </x:c>
      <x:c r="J3" s="78" t="str">
        <x:v>Dalyvių</x:v>
      </x:c>
      <x:c r="K3" s="78" t="str">
        <x:v>Bendras svoris (g)</x:v>
      </x:c>
      <x:c r="L3" s="78" t="str">
        <x:v>Didžiausias svoris (g)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80" t="str">
        <x:v>A</x:v>
      </x:c>
      <x:c r="J4" s="81" t="n">
        <x:f>COUNTIFS($A$6:$A$90,I4,$B$6:$B$90,"&lt;&gt;")</x:f>
        <x:v>0</x:v>
      </x:c>
      <x:c r="K4" s="81" t="n">
        <x:f>SUMIFS($E$6:$E$90,$A$6:$A$90,I4)</x:f>
        <x:v>0</x:v>
      </x:c>
      <x:c r="L4" s="81" t="str">
        <x:f>IF(J4=0,"",MAXIFS($E$6:$E$90,$A$6:$A$90,I4))</x:f>
      </x:c>
    </x:row>
    <x:row r="5" ht="30" customHeight="1">
      <x:c r="A5" s="14" t="str">
        <x:v>Zona</x:v>
      </x:c>
      <x:c r="B5" s="14" t="str">
        <x:v>Vardas Pavardė</x:v>
      </x:c>
      <x:c r="C5" s="14" t="str">
        <x:v>Komanda</x:v>
      </x:c>
      <x:c r="D5" s="14" t="str">
        <x:v>Sektorius</x:v>
      </x:c>
      <x:c r="E5" s="14" t="str">
        <x:v>Svoris (g)</x:v>
      </x:c>
      <x:c r="F5" s="14" t="str">
        <x:v>Vieta zonoje</x:v>
      </x:c>
      <x:c r="G5" s="14" t="str">
        <x:v>Baudos taškai</x:v>
      </x:c>
      <x:c r="H5" s="1"/>
      <x:c r="I5" s="80" t="str">
        <x:v>B</x:v>
      </x:c>
      <x:c r="J5" s="81" t="n">
        <x:f>COUNTIFS($A$6:$A$90,I5,$B$6:$B$90,"&lt;&gt;")</x:f>
        <x:v>0</x:v>
      </x:c>
      <x:c r="K5" s="81" t="n">
        <x:f>SUMIFS($E$6:$E$90,$A$6:$A$90,I5)</x:f>
        <x:v>0</x:v>
      </x:c>
      <x:c r="L5" s="81" t="str">
        <x:f>IF(J5=0,"",MAXIFS($E$6:$E$90,$A$6:$A$90,I5))</x:f>
      </x:c>
    </x:row>
    <x:row r="6">
      <x:c r="A6" s="28" t="str">
        <x:v>A</x:v>
      </x:c>
      <x:c r="B6" s="22"/>
      <x:c r="C6" s="22"/>
      <x:c r="D6" s="50" t="n">
        <x:v>1</x:v>
      </x:c>
      <x:c r="E6" s="60"/>
      <x:c r="F6" s="70" t="str">
        <x:f>IF(OR(A6="",B6="",E6=""),"",COUNTIFS($A$6:$A$90,A6,$E$6:$E$90,"&gt;"&amp;E6)+1)</x:f>
      </x:c>
      <x:c r="G6" s="70" t="str">
        <x:f>IF(F6="","",F6)</x:f>
      </x:c>
      <x:c r="H6" s="1"/>
      <x:c r="I6" s="80" t="str">
        <x:v>C</x:v>
      </x:c>
      <x:c r="J6" s="81" t="n">
        <x:f>COUNTIFS($A$6:$A$90,I6,$B$6:$B$90,"&lt;&gt;")</x:f>
        <x:v>0</x:v>
      </x:c>
      <x:c r="K6" s="81" t="n">
        <x:f>SUMIFS($E$6:$E$90,$A$6:$A$90,I6)</x:f>
        <x:v>0</x:v>
      </x:c>
      <x:c r="L6" s="81" t="str">
        <x:f>IF(J6=0,"",MAXIFS($E$6:$E$90,$A$6:$A$90,I6))</x:f>
      </x:c>
    </x:row>
    <x:row r="7">
      <x:c r="A7" s="29" t="str">
        <x:v>A</x:v>
      </x:c>
      <x:c r="B7" s="17"/>
      <x:c r="C7" s="17"/>
      <x:c r="D7" s="51" t="n">
        <x:v>2</x:v>
      </x:c>
      <x:c r="E7" s="61"/>
      <x:c r="F7" s="71" t="str">
        <x:f>IF(OR(A7="",B7="",E7=""),"",COUNTIFS($A$6:$A$90,A7,$E$6:$E$90,"&gt;"&amp;E7)+1)</x:f>
      </x:c>
      <x:c r="G7" s="71" t="str">
        <x:f>IF(F7="","",F7)</x:f>
      </x:c>
      <x:c r="H7" s="1"/>
      <x:c r="I7" s="80" t="str">
        <x:v>D</x:v>
      </x:c>
      <x:c r="J7" s="81" t="n">
        <x:f>COUNTIFS($A$6:$A$90,I7,$B$6:$B$90,"&lt;&gt;")</x:f>
        <x:v>0</x:v>
      </x:c>
      <x:c r="K7" s="81" t="n">
        <x:f>SUMIFS($E$6:$E$90,$A$6:$A$90,I7)</x:f>
        <x:v>0</x:v>
      </x:c>
      <x:c r="L7" s="81" t="str">
        <x:f>IF(J7=0,"",MAXIFS($E$6:$E$90,$A$6:$A$90,I7))</x:f>
      </x:c>
    </x:row>
    <x:row r="8">
      <x:c r="A8" s="29" t="str">
        <x:v>A</x:v>
      </x:c>
      <x:c r="B8" s="17"/>
      <x:c r="C8" s="17"/>
      <x:c r="D8" s="51" t="n">
        <x:v>3</x:v>
      </x:c>
      <x:c r="E8" s="61"/>
      <x:c r="F8" s="71" t="str">
        <x:f>IF(OR(A8="",B8="",E8=""),"",COUNTIFS($A$6:$A$90,A8,$E$6:$E$90,"&gt;"&amp;E8)+1)</x:f>
      </x:c>
      <x:c r="G8" s="71" t="str">
        <x:f>IF(F8="","",F8)</x:f>
      </x:c>
      <x:c r="H8" s="1"/>
      <x:c r="I8" s="80" t="str">
        <x:v>E</x:v>
      </x:c>
      <x:c r="J8" s="81" t="n">
        <x:f>COUNTIFS($A$6:$A$90,I8,$B$6:$B$90,"&lt;&gt;")</x:f>
        <x:v>0</x:v>
      </x:c>
      <x:c r="K8" s="81" t="n">
        <x:f>SUMIFS($E$6:$E$90,$A$6:$A$90,I8)</x:f>
        <x:v>0</x:v>
      </x:c>
      <x:c r="L8" s="81" t="str">
        <x:f>IF(J8=0,"",MAXIFS($E$6:$E$90,$A$6:$A$90,I8))</x:f>
      </x:c>
    </x:row>
    <x:row r="9">
      <x:c r="A9" s="29" t="str">
        <x:v>A</x:v>
      </x:c>
      <x:c r="B9" s="17"/>
      <x:c r="C9" s="17"/>
      <x:c r="D9" s="51" t="n">
        <x:v>4</x:v>
      </x:c>
      <x:c r="E9" s="61"/>
      <x:c r="F9" s="71" t="str">
        <x:f>IF(OR(A9="",B9="",E9=""),"",COUNTIFS($A$6:$A$90,A9,$E$6:$E$90,"&gt;"&amp;E9)+1)</x:f>
      </x:c>
      <x:c r="G9" s="71" t="str">
        <x:f>IF(F9="","",F9)</x:f>
      </x:c>
      <x:c r="H9" s="1"/>
      <x:c r="I9" s="1"/>
      <x:c r="J9" s="1"/>
      <x:c r="K9" s="1"/>
      <x:c r="L9" s="1"/>
    </x:row>
    <x:row r="10">
      <x:c r="A10" s="29" t="str">
        <x:v>A</x:v>
      </x:c>
      <x:c r="B10" s="17"/>
      <x:c r="C10" s="17"/>
      <x:c r="D10" s="51" t="n">
        <x:v>5</x:v>
      </x:c>
      <x:c r="E10" s="61"/>
      <x:c r="F10" s="71" t="str">
        <x:f>IF(OR(A10="",B10="",E10=""),"",COUNTIFS($A$6:$A$90,A10,$E$6:$E$90,"&gt;"&amp;E10)+1)</x:f>
      </x:c>
      <x:c r="G10" s="71" t="str">
        <x:f>IF(F10="","",F10)</x:f>
      </x:c>
      <x:c r="H10" s="1"/>
      <x:c r="I10" s="1"/>
      <x:c r="J10" s="1"/>
      <x:c r="K10" s="1"/>
      <x:c r="L10" s="1"/>
    </x:row>
    <x:row r="11">
      <x:c r="A11" s="29" t="str">
        <x:v>A</x:v>
      </x:c>
      <x:c r="B11" s="17"/>
      <x:c r="C11" s="17"/>
      <x:c r="D11" s="51" t="n">
        <x:v>6</x:v>
      </x:c>
      <x:c r="E11" s="61"/>
      <x:c r="F11" s="71" t="str">
        <x:f>IF(OR(A11="",B11="",E11=""),"",COUNTIFS($A$6:$A$90,A11,$E$6:$E$90,"&gt;"&amp;E11)+1)</x:f>
      </x:c>
      <x:c r="G11" s="71" t="str">
        <x:f>IF(F11="","",F11)</x:f>
      </x:c>
      <x:c r="H11" s="1"/>
      <x:c r="I11" s="1"/>
      <x:c r="J11" s="1"/>
      <x:c r="K11" s="1"/>
      <x:c r="L11" s="1"/>
    </x:row>
    <x:row r="12">
      <x:c r="A12" s="29" t="str">
        <x:v>A</x:v>
      </x:c>
      <x:c r="B12" s="17"/>
      <x:c r="C12" s="17"/>
      <x:c r="D12" s="51" t="n">
        <x:v>7</x:v>
      </x:c>
      <x:c r="E12" s="61"/>
      <x:c r="F12" s="71" t="str">
        <x:f>IF(OR(A12="",B12="",E12=""),"",COUNTIFS($A$6:$A$90,A12,$E$6:$E$90,"&gt;"&amp;E12)+1)</x:f>
      </x:c>
      <x:c r="G12" s="71" t="str">
        <x:f>IF(F12="","",F12)</x:f>
      </x:c>
      <x:c r="H12" s="1"/>
      <x:c r="I12" s="1"/>
      <x:c r="J12" s="1"/>
      <x:c r="K12" s="1"/>
      <x:c r="L12" s="1"/>
    </x:row>
    <x:row r="13">
      <x:c r="A13" s="29" t="str">
        <x:v>A</x:v>
      </x:c>
      <x:c r="B13" s="17"/>
      <x:c r="C13" s="17"/>
      <x:c r="D13" s="51" t="n">
        <x:v>8</x:v>
      </x:c>
      <x:c r="E13" s="61"/>
      <x:c r="F13" s="71" t="str">
        <x:f>IF(OR(A13="",B13="",E13=""),"",COUNTIFS($A$6:$A$90,A13,$E$6:$E$90,"&gt;"&amp;E13)+1)</x:f>
      </x:c>
      <x:c r="G13" s="71" t="str">
        <x:f>IF(F13="","",F13)</x:f>
      </x:c>
      <x:c r="H13" s="1"/>
      <x:c r="I13" s="1"/>
      <x:c r="J13" s="1"/>
      <x:c r="K13" s="1"/>
      <x:c r="L13" s="1"/>
    </x:row>
    <x:row r="14">
      <x:c r="A14" s="29" t="str">
        <x:v>A</x:v>
      </x:c>
      <x:c r="B14" s="17"/>
      <x:c r="C14" s="17"/>
      <x:c r="D14" s="51" t="n">
        <x:v>9</x:v>
      </x:c>
      <x:c r="E14" s="61"/>
      <x:c r="F14" s="71" t="str">
        <x:f>IF(OR(A14="",B14="",E14=""),"",COUNTIFS($A$6:$A$90,A14,$E$6:$E$90,"&gt;"&amp;E14)+1)</x:f>
      </x:c>
      <x:c r="G14" s="71" t="str">
        <x:f>IF(F14="","",F14)</x:f>
      </x:c>
      <x:c r="H14" s="1"/>
      <x:c r="I14" s="1"/>
      <x:c r="J14" s="1"/>
      <x:c r="K14" s="1"/>
      <x:c r="L14" s="1"/>
    </x:row>
    <x:row r="15">
      <x:c r="A15" s="29" t="str">
        <x:v>A</x:v>
      </x:c>
      <x:c r="B15" s="17"/>
      <x:c r="C15" s="17"/>
      <x:c r="D15" s="51" t="n">
        <x:v>10</x:v>
      </x:c>
      <x:c r="E15" s="61"/>
      <x:c r="F15" s="71" t="str">
        <x:f>IF(OR(A15="",B15="",E15=""),"",COUNTIFS($A$6:$A$90,A15,$E$6:$E$90,"&gt;"&amp;E15)+1)</x:f>
      </x:c>
      <x:c r="G15" s="71" t="str">
        <x:f>IF(F15="","",F15)</x:f>
      </x:c>
      <x:c r="H15" s="1"/>
      <x:c r="I15" s="1"/>
      <x:c r="J15" s="1"/>
      <x:c r="K15" s="1"/>
      <x:c r="L15" s="1"/>
    </x:row>
    <x:row r="16">
      <x:c r="A16" s="29" t="str">
        <x:v>A</x:v>
      </x:c>
      <x:c r="B16" s="17"/>
      <x:c r="C16" s="17"/>
      <x:c r="D16" s="51" t="n">
        <x:v>11</x:v>
      </x:c>
      <x:c r="E16" s="61"/>
      <x:c r="F16" s="71" t="str">
        <x:f>IF(OR(A16="",B16="",E16=""),"",COUNTIFS($A$6:$A$90,A16,$E$6:$E$90,"&gt;"&amp;E16)+1)</x:f>
      </x:c>
      <x:c r="G16" s="71" t="str">
        <x:f>IF(F16="","",F16)</x:f>
      </x:c>
      <x:c r="H16" s="1"/>
      <x:c r="I16" s="1"/>
      <x:c r="J16" s="1"/>
      <x:c r="K16" s="1"/>
      <x:c r="L16" s="1"/>
    </x:row>
    <x:row r="17">
      <x:c r="A17" s="29" t="str">
        <x:v>A</x:v>
      </x:c>
      <x:c r="B17" s="17"/>
      <x:c r="C17" s="17"/>
      <x:c r="D17" s="51" t="n">
        <x:v>12</x:v>
      </x:c>
      <x:c r="E17" s="61"/>
      <x:c r="F17" s="71" t="str">
        <x:f>IF(OR(A17="",B17="",E17=""),"",COUNTIFS($A$6:$A$90,A17,$E$6:$E$90,"&gt;"&amp;E17)+1)</x:f>
      </x:c>
      <x:c r="G17" s="71" t="str">
        <x:f>IF(F17="","",F17)</x:f>
      </x:c>
      <x:c r="H17" s="1"/>
      <x:c r="I17" s="1"/>
      <x:c r="J17" s="1"/>
      <x:c r="K17" s="1"/>
      <x:c r="L17" s="1"/>
    </x:row>
    <x:row r="18">
      <x:c r="A18" s="29" t="str">
        <x:v>A</x:v>
      </x:c>
      <x:c r="B18" s="17"/>
      <x:c r="C18" s="17"/>
      <x:c r="D18" s="51" t="n">
        <x:v>13</x:v>
      </x:c>
      <x:c r="E18" s="61"/>
      <x:c r="F18" s="71" t="str">
        <x:f>IF(OR(A18="",B18="",E18=""),"",COUNTIFS($A$6:$A$90,A18,$E$6:$E$90,"&gt;"&amp;E18)+1)</x:f>
      </x:c>
      <x:c r="G18" s="71" t="str">
        <x:f>IF(F18="","",F18)</x:f>
      </x:c>
      <x:c r="H18" s="1"/>
      <x:c r="I18" s="1"/>
      <x:c r="J18" s="1"/>
      <x:c r="K18" s="1"/>
      <x:c r="L18" s="1"/>
    </x:row>
    <x:row r="19">
      <x:c r="A19" s="29" t="str">
        <x:v>A</x:v>
      </x:c>
      <x:c r="B19" s="17"/>
      <x:c r="C19" s="17"/>
      <x:c r="D19" s="51" t="n">
        <x:v>14</x:v>
      </x:c>
      <x:c r="E19" s="61"/>
      <x:c r="F19" s="71" t="str">
        <x:f>IF(OR(A19="",B19="",E19=""),"",COUNTIFS($A$6:$A$90,A19,$E$6:$E$90,"&gt;"&amp;E19)+1)</x:f>
      </x:c>
      <x:c r="G19" s="71" t="str">
        <x:f>IF(F19="","",F19)</x:f>
      </x:c>
      <x:c r="H19" s="1"/>
      <x:c r="I19" s="1"/>
      <x:c r="J19" s="1"/>
      <x:c r="K19" s="1"/>
      <x:c r="L19" s="1"/>
    </x:row>
    <x:row r="20">
      <x:c r="A20" s="29" t="str">
        <x:v>A</x:v>
      </x:c>
      <x:c r="B20" s="17"/>
      <x:c r="C20" s="17"/>
      <x:c r="D20" s="51" t="n">
        <x:v>15</x:v>
      </x:c>
      <x:c r="E20" s="61"/>
      <x:c r="F20" s="71" t="str">
        <x:f>IF(OR(A20="",B20="",E20=""),"",COUNTIFS($A$6:$A$90,A20,$E$6:$E$90,"&gt;"&amp;E20)+1)</x:f>
      </x:c>
      <x:c r="G20" s="71" t="str">
        <x:f>IF(F20="","",F20)</x:f>
      </x:c>
      <x:c r="H20" s="1"/>
      <x:c r="I20" s="1"/>
      <x:c r="J20" s="1"/>
      <x:c r="K20" s="1"/>
      <x:c r="L20" s="1"/>
    </x:row>
    <x:row r="21">
      <x:c r="A21" s="29" t="str">
        <x:v>A</x:v>
      </x:c>
      <x:c r="B21" s="17"/>
      <x:c r="C21" s="17"/>
      <x:c r="D21" s="51" t="n">
        <x:v>16</x:v>
      </x:c>
      <x:c r="E21" s="61"/>
      <x:c r="F21" s="71" t="str">
        <x:f>IF(OR(A21="",B21="",E21=""),"",COUNTIFS($A$6:$A$90,A21,$E$6:$E$90,"&gt;"&amp;E21)+1)</x:f>
      </x:c>
      <x:c r="G21" s="71" t="str">
        <x:f>IF(F21="","",F21)</x:f>
      </x:c>
      <x:c r="H21" s="1"/>
      <x:c r="I21" s="1"/>
      <x:c r="J21" s="1"/>
      <x:c r="K21" s="1"/>
      <x:c r="L21" s="1"/>
    </x:row>
    <x:row r="22">
      <x:c r="A22" s="29" t="str">
        <x:v>A</x:v>
      </x:c>
      <x:c r="B22" s="17"/>
      <x:c r="C22" s="17"/>
      <x:c r="D22" s="51" t="n">
        <x:v>17</x:v>
      </x:c>
      <x:c r="E22" s="61"/>
      <x:c r="F22" s="71" t="str">
        <x:f>IF(OR(A22="",B22="",E22=""),"",COUNTIFS($A$6:$A$90,A22,$E$6:$E$90,"&gt;"&amp;E22)+1)</x:f>
      </x:c>
      <x:c r="G22" s="71" t="str">
        <x:f>IF(F22="","",F22)</x:f>
      </x:c>
      <x:c r="H22" s="1"/>
      <x:c r="I22" s="1"/>
      <x:c r="J22" s="1"/>
      <x:c r="K22" s="1"/>
      <x:c r="L22" s="1"/>
    </x:row>
    <x:row r="23">
      <x:c r="A23" s="30" t="str">
        <x:v>B</x:v>
      </x:c>
      <x:c r="B23" s="24"/>
      <x:c r="C23" s="24"/>
      <x:c r="D23" s="52" t="n">
        <x:v>1</x:v>
      </x:c>
      <x:c r="E23" s="62"/>
      <x:c r="F23" s="70" t="str">
        <x:f>IF(OR(A23="",B23="",E23=""),"",COUNTIFS($A$6:$A$90,A23,$E$6:$E$90,"&gt;"&amp;E23)+1)</x:f>
      </x:c>
      <x:c r="G23" s="70" t="str">
        <x:f>IF(F23="","",F23)</x:f>
      </x:c>
      <x:c r="H23" s="1"/>
      <x:c r="I23" s="1"/>
      <x:c r="J23" s="1"/>
      <x:c r="K23" s="1"/>
      <x:c r="L23" s="1"/>
    </x:row>
    <x:row r="24">
      <x:c r="A24" s="31" t="str">
        <x:v>B</x:v>
      </x:c>
      <x:c r="B24" s="18"/>
      <x:c r="C24" s="18"/>
      <x:c r="D24" s="53" t="n">
        <x:v>2</x:v>
      </x:c>
      <x:c r="E24" s="63"/>
      <x:c r="F24" s="71" t="str">
        <x:f>IF(OR(A24="",B24="",E24=""),"",COUNTIFS($A$6:$A$90,A24,$E$6:$E$90,"&gt;"&amp;E24)+1)</x:f>
      </x:c>
      <x:c r="G24" s="71" t="str">
        <x:f>IF(F24="","",F24)</x:f>
      </x:c>
      <x:c r="H24" s="1"/>
      <x:c r="I24" s="1"/>
      <x:c r="J24" s="1"/>
      <x:c r="K24" s="1"/>
      <x:c r="L24" s="1"/>
    </x:row>
    <x:row r="25">
      <x:c r="A25" s="31" t="str">
        <x:v>B</x:v>
      </x:c>
      <x:c r="B25" s="18"/>
      <x:c r="C25" s="18"/>
      <x:c r="D25" s="53" t="n">
        <x:v>3</x:v>
      </x:c>
      <x:c r="E25" s="63"/>
      <x:c r="F25" s="71" t="str">
        <x:f>IF(OR(A25="",B25="",E25=""),"",COUNTIFS($A$6:$A$90,A25,$E$6:$E$90,"&gt;"&amp;E25)+1)</x:f>
      </x:c>
      <x:c r="G25" s="71" t="str">
        <x:f>IF(F25="","",F25)</x:f>
      </x:c>
      <x:c r="H25" s="1"/>
      <x:c r="I25" s="1"/>
      <x:c r="J25" s="1"/>
      <x:c r="K25" s="1"/>
      <x:c r="L25" s="1"/>
    </x:row>
    <x:row r="26">
      <x:c r="A26" s="31" t="str">
        <x:v>B</x:v>
      </x:c>
      <x:c r="B26" s="18"/>
      <x:c r="C26" s="18"/>
      <x:c r="D26" s="53" t="n">
        <x:v>4</x:v>
      </x:c>
      <x:c r="E26" s="63"/>
      <x:c r="F26" s="71" t="str">
        <x:f>IF(OR(A26="",B26="",E26=""),"",COUNTIFS($A$6:$A$90,A26,$E$6:$E$90,"&gt;"&amp;E26)+1)</x:f>
      </x:c>
      <x:c r="G26" s="71" t="str">
        <x:f>IF(F26="","",F26)</x:f>
      </x:c>
      <x:c r="H26" s="1"/>
      <x:c r="I26" s="1"/>
      <x:c r="J26" s="1"/>
      <x:c r="K26" s="1"/>
      <x:c r="L26" s="1"/>
    </x:row>
    <x:row r="27">
      <x:c r="A27" s="31" t="str">
        <x:v>B</x:v>
      </x:c>
      <x:c r="B27" s="18"/>
      <x:c r="C27" s="18"/>
      <x:c r="D27" s="53" t="n">
        <x:v>5</x:v>
      </x:c>
      <x:c r="E27" s="63"/>
      <x:c r="F27" s="71" t="str">
        <x:f>IF(OR(A27="",B27="",E27=""),"",COUNTIFS($A$6:$A$90,A27,$E$6:$E$90,"&gt;"&amp;E27)+1)</x:f>
      </x:c>
      <x:c r="G27" s="71" t="str">
        <x:f>IF(F27="","",F27)</x:f>
      </x:c>
      <x:c r="H27" s="1"/>
      <x:c r="I27" s="1"/>
      <x:c r="J27" s="1"/>
      <x:c r="K27" s="1"/>
      <x:c r="L27" s="1"/>
    </x:row>
    <x:row r="28">
      <x:c r="A28" s="31" t="str">
        <x:v>B</x:v>
      </x:c>
      <x:c r="B28" s="18"/>
      <x:c r="C28" s="18"/>
      <x:c r="D28" s="53" t="n">
        <x:v>6</x:v>
      </x:c>
      <x:c r="E28" s="63"/>
      <x:c r="F28" s="71" t="str">
        <x:f>IF(OR(A28="",B28="",E28=""),"",COUNTIFS($A$6:$A$90,A28,$E$6:$E$90,"&gt;"&amp;E28)+1)</x:f>
      </x:c>
      <x:c r="G28" s="71" t="str">
        <x:f>IF(F28="","",F28)</x:f>
      </x:c>
      <x:c r="H28" s="1"/>
      <x:c r="I28" s="1"/>
      <x:c r="J28" s="1"/>
      <x:c r="K28" s="1"/>
      <x:c r="L28" s="1"/>
    </x:row>
    <x:row r="29">
      <x:c r="A29" s="31" t="str">
        <x:v>B</x:v>
      </x:c>
      <x:c r="B29" s="18"/>
      <x:c r="C29" s="18"/>
      <x:c r="D29" s="53" t="n">
        <x:v>7</x:v>
      </x:c>
      <x:c r="E29" s="63"/>
      <x:c r="F29" s="71" t="str">
        <x:f>IF(OR(A29="",B29="",E29=""),"",COUNTIFS($A$6:$A$90,A29,$E$6:$E$90,"&gt;"&amp;E29)+1)</x:f>
      </x:c>
      <x:c r="G29" s="71" t="str">
        <x:f>IF(F29="","",F29)</x:f>
      </x:c>
      <x:c r="H29" s="1"/>
      <x:c r="I29" s="1"/>
      <x:c r="J29" s="1"/>
      <x:c r="K29" s="1"/>
      <x:c r="L29" s="1"/>
    </x:row>
    <x:row r="30">
      <x:c r="A30" s="31" t="str">
        <x:v>B</x:v>
      </x:c>
      <x:c r="B30" s="18"/>
      <x:c r="C30" s="18"/>
      <x:c r="D30" s="53" t="n">
        <x:v>8</x:v>
      </x:c>
      <x:c r="E30" s="63"/>
      <x:c r="F30" s="71" t="str">
        <x:f>IF(OR(A30="",B30="",E30=""),"",COUNTIFS($A$6:$A$90,A30,$E$6:$E$90,"&gt;"&amp;E30)+1)</x:f>
      </x:c>
      <x:c r="G30" s="71" t="str">
        <x:f>IF(F30="","",F30)</x:f>
      </x:c>
      <x:c r="H30" s="1"/>
      <x:c r="I30" s="1"/>
      <x:c r="J30" s="1"/>
      <x:c r="K30" s="1"/>
      <x:c r="L30" s="1"/>
    </x:row>
    <x:row r="31">
      <x:c r="A31" s="31" t="str">
        <x:v>B</x:v>
      </x:c>
      <x:c r="B31" s="18"/>
      <x:c r="C31" s="18"/>
      <x:c r="D31" s="53" t="n">
        <x:v>9</x:v>
      </x:c>
      <x:c r="E31" s="63"/>
      <x:c r="F31" s="71" t="str">
        <x:f>IF(OR(A31="",B31="",E31=""),"",COUNTIFS($A$6:$A$90,A31,$E$6:$E$90,"&gt;"&amp;E31)+1)</x:f>
      </x:c>
      <x:c r="G31" s="71" t="str">
        <x:f>IF(F31="","",F31)</x:f>
      </x:c>
      <x:c r="H31" s="1"/>
      <x:c r="I31" s="1"/>
      <x:c r="J31" s="1"/>
      <x:c r="K31" s="1"/>
      <x:c r="L31" s="1"/>
    </x:row>
    <x:row r="32">
      <x:c r="A32" s="31" t="str">
        <x:v>B</x:v>
      </x:c>
      <x:c r="B32" s="18"/>
      <x:c r="C32" s="18"/>
      <x:c r="D32" s="53" t="n">
        <x:v>10</x:v>
      </x:c>
      <x:c r="E32" s="63"/>
      <x:c r="F32" s="71" t="str">
        <x:f>IF(OR(A32="",B32="",E32=""),"",COUNTIFS($A$6:$A$90,A32,$E$6:$E$90,"&gt;"&amp;E32)+1)</x:f>
      </x:c>
      <x:c r="G32" s="71" t="str">
        <x:f>IF(F32="","",F32)</x:f>
      </x:c>
      <x:c r="H32" s="1"/>
      <x:c r="I32" s="1"/>
      <x:c r="J32" s="1"/>
      <x:c r="K32" s="1"/>
      <x:c r="L32" s="1"/>
    </x:row>
    <x:row r="33">
      <x:c r="A33" s="31" t="str">
        <x:v>B</x:v>
      </x:c>
      <x:c r="B33" s="18"/>
      <x:c r="C33" s="18"/>
      <x:c r="D33" s="53" t="n">
        <x:v>11</x:v>
      </x:c>
      <x:c r="E33" s="63"/>
      <x:c r="F33" s="71" t="str">
        <x:f>IF(OR(A33="",B33="",E33=""),"",COUNTIFS($A$6:$A$90,A33,$E$6:$E$90,"&gt;"&amp;E33)+1)</x:f>
      </x:c>
      <x:c r="G33" s="71" t="str">
        <x:f>IF(F33="","",F33)</x:f>
      </x:c>
      <x:c r="H33" s="1"/>
      <x:c r="I33" s="1"/>
      <x:c r="J33" s="1"/>
      <x:c r="K33" s="1"/>
      <x:c r="L33" s="1"/>
    </x:row>
    <x:row r="34">
      <x:c r="A34" s="31" t="str">
        <x:v>B</x:v>
      </x:c>
      <x:c r="B34" s="18"/>
      <x:c r="C34" s="18"/>
      <x:c r="D34" s="53" t="n">
        <x:v>12</x:v>
      </x:c>
      <x:c r="E34" s="63"/>
      <x:c r="F34" s="71" t="str">
        <x:f>IF(OR(A34="",B34="",E34=""),"",COUNTIFS($A$6:$A$90,A34,$E$6:$E$90,"&gt;"&amp;E34)+1)</x:f>
      </x:c>
      <x:c r="G34" s="71" t="str">
        <x:f>IF(F34="","",F34)</x:f>
      </x:c>
      <x:c r="H34" s="1"/>
      <x:c r="I34" s="1"/>
      <x:c r="J34" s="1"/>
      <x:c r="K34" s="1"/>
      <x:c r="L34" s="1"/>
    </x:row>
    <x:row r="35">
      <x:c r="A35" s="31" t="str">
        <x:v>B</x:v>
      </x:c>
      <x:c r="B35" s="18"/>
      <x:c r="C35" s="18"/>
      <x:c r="D35" s="53" t="n">
        <x:v>13</x:v>
      </x:c>
      <x:c r="E35" s="63"/>
      <x:c r="F35" s="71" t="str">
        <x:f>IF(OR(A35="",B35="",E35=""),"",COUNTIFS($A$6:$A$90,A35,$E$6:$E$90,"&gt;"&amp;E35)+1)</x:f>
      </x:c>
      <x:c r="G35" s="71" t="str">
        <x:f>IF(F35="","",F35)</x:f>
      </x:c>
      <x:c r="H35" s="1"/>
      <x:c r="I35" s="1"/>
      <x:c r="J35" s="1"/>
      <x:c r="K35" s="1"/>
      <x:c r="L35" s="1"/>
    </x:row>
    <x:row r="36">
      <x:c r="A36" s="31" t="str">
        <x:v>B</x:v>
      </x:c>
      <x:c r="B36" s="18"/>
      <x:c r="C36" s="18"/>
      <x:c r="D36" s="53" t="n">
        <x:v>14</x:v>
      </x:c>
      <x:c r="E36" s="63"/>
      <x:c r="F36" s="71" t="str">
        <x:f>IF(OR(A36="",B36="",E36=""),"",COUNTIFS($A$6:$A$90,A36,$E$6:$E$90,"&gt;"&amp;E36)+1)</x:f>
      </x:c>
      <x:c r="G36" s="71" t="str">
        <x:f>IF(F36="","",F36)</x:f>
      </x:c>
      <x:c r="H36" s="1"/>
      <x:c r="I36" s="1"/>
      <x:c r="J36" s="1"/>
      <x:c r="K36" s="1"/>
      <x:c r="L36" s="1"/>
    </x:row>
    <x:row r="37">
      <x:c r="A37" s="31" t="str">
        <x:v>B</x:v>
      </x:c>
      <x:c r="B37" s="18"/>
      <x:c r="C37" s="18"/>
      <x:c r="D37" s="53" t="n">
        <x:v>15</x:v>
      </x:c>
      <x:c r="E37" s="63"/>
      <x:c r="F37" s="71" t="str">
        <x:f>IF(OR(A37="",B37="",E37=""),"",COUNTIFS($A$6:$A$90,A37,$E$6:$E$90,"&gt;"&amp;E37)+1)</x:f>
      </x:c>
      <x:c r="G37" s="71" t="str">
        <x:f>IF(F37="","",F37)</x:f>
      </x:c>
      <x:c r="H37" s="1"/>
      <x:c r="I37" s="1"/>
      <x:c r="J37" s="1"/>
      <x:c r="K37" s="1"/>
      <x:c r="L37" s="1"/>
    </x:row>
    <x:row r="38">
      <x:c r="A38" s="31" t="str">
        <x:v>B</x:v>
      </x:c>
      <x:c r="B38" s="18"/>
      <x:c r="C38" s="18"/>
      <x:c r="D38" s="53" t="n">
        <x:v>16</x:v>
      </x:c>
      <x:c r="E38" s="63"/>
      <x:c r="F38" s="71" t="str">
        <x:f>IF(OR(A38="",B38="",E38=""),"",COUNTIFS($A$6:$A$90,A38,$E$6:$E$90,"&gt;"&amp;E38)+1)</x:f>
      </x:c>
      <x:c r="G38" s="71" t="str">
        <x:f>IF(F38="","",F38)</x:f>
      </x:c>
      <x:c r="H38" s="1"/>
      <x:c r="I38" s="1"/>
      <x:c r="J38" s="1"/>
      <x:c r="K38" s="1"/>
      <x:c r="L38" s="1"/>
    </x:row>
    <x:row r="39">
      <x:c r="A39" s="31" t="str">
        <x:v>B</x:v>
      </x:c>
      <x:c r="B39" s="18"/>
      <x:c r="C39" s="18"/>
      <x:c r="D39" s="53" t="n">
        <x:v>17</x:v>
      </x:c>
      <x:c r="E39" s="63"/>
      <x:c r="F39" s="71" t="str">
        <x:f>IF(OR(A39="",B39="",E39=""),"",COUNTIFS($A$6:$A$90,A39,$E$6:$E$90,"&gt;"&amp;E39)+1)</x:f>
      </x:c>
      <x:c r="G39" s="71" t="str">
        <x:f>IF(F39="","",F39)</x:f>
      </x:c>
      <x:c r="H39" s="1"/>
      <x:c r="I39" s="1"/>
      <x:c r="J39" s="1"/>
      <x:c r="K39" s="1"/>
      <x:c r="L39" s="1"/>
    </x:row>
    <x:row r="40">
      <x:c r="A40" s="32" t="str">
        <x:v>C</x:v>
      </x:c>
      <x:c r="B40" s="25"/>
      <x:c r="C40" s="25"/>
      <x:c r="D40" s="54" t="n">
        <x:v>1</x:v>
      </x:c>
      <x:c r="E40" s="64"/>
      <x:c r="F40" s="70" t="str">
        <x:f>IF(OR(A40="",B40="",E40=""),"",COUNTIFS($A$6:$A$90,A40,$E$6:$E$90,"&gt;"&amp;E40)+1)</x:f>
      </x:c>
      <x:c r="G40" s="70" t="str">
        <x:f>IF(F40="","",F40)</x:f>
      </x:c>
      <x:c r="H40" s="1"/>
      <x:c r="I40" s="1"/>
      <x:c r="J40" s="1"/>
      <x:c r="K40" s="1"/>
      <x:c r="L40" s="1"/>
    </x:row>
    <x:row r="41">
      <x:c r="A41" s="33" t="str">
        <x:v>C</x:v>
      </x:c>
      <x:c r="B41" s="19"/>
      <x:c r="C41" s="19"/>
      <x:c r="D41" s="55" t="n">
        <x:v>2</x:v>
      </x:c>
      <x:c r="E41" s="65"/>
      <x:c r="F41" s="71" t="str">
        <x:f>IF(OR(A41="",B41="",E41=""),"",COUNTIFS($A$6:$A$90,A41,$E$6:$E$90,"&gt;"&amp;E41)+1)</x:f>
      </x:c>
      <x:c r="G41" s="71" t="str">
        <x:f>IF(F41="","",F41)</x:f>
      </x:c>
      <x:c r="H41" s="1"/>
      <x:c r="I41" s="1"/>
      <x:c r="J41" s="1"/>
      <x:c r="K41" s="1"/>
      <x:c r="L41" s="1"/>
    </x:row>
    <x:row r="42">
      <x:c r="A42" s="33" t="str">
        <x:v>C</x:v>
      </x:c>
      <x:c r="B42" s="19"/>
      <x:c r="C42" s="19"/>
      <x:c r="D42" s="55" t="n">
        <x:v>3</x:v>
      </x:c>
      <x:c r="E42" s="65"/>
      <x:c r="F42" s="71" t="str">
        <x:f>IF(OR(A42="",B42="",E42=""),"",COUNTIFS($A$6:$A$90,A42,$E$6:$E$90,"&gt;"&amp;E42)+1)</x:f>
      </x:c>
      <x:c r="G42" s="71" t="str">
        <x:f>IF(F42="","",F42)</x:f>
      </x:c>
      <x:c r="H42" s="1"/>
      <x:c r="I42" s="1"/>
      <x:c r="J42" s="1"/>
      <x:c r="K42" s="1"/>
      <x:c r="L42" s="1"/>
    </x:row>
    <x:row r="43">
      <x:c r="A43" s="33" t="str">
        <x:v>C</x:v>
      </x:c>
      <x:c r="B43" s="19"/>
      <x:c r="C43" s="19"/>
      <x:c r="D43" s="55" t="n">
        <x:v>4</x:v>
      </x:c>
      <x:c r="E43" s="65"/>
      <x:c r="F43" s="71" t="str">
        <x:f>IF(OR(A43="",B43="",E43=""),"",COUNTIFS($A$6:$A$90,A43,$E$6:$E$90,"&gt;"&amp;E43)+1)</x:f>
      </x:c>
      <x:c r="G43" s="71" t="str">
        <x:f>IF(F43="","",F43)</x:f>
      </x:c>
      <x:c r="H43" s="1"/>
      <x:c r="I43" s="1"/>
      <x:c r="J43" s="1"/>
      <x:c r="K43" s="1"/>
      <x:c r="L43" s="1"/>
    </x:row>
    <x:row r="44">
      <x:c r="A44" s="33" t="str">
        <x:v>C</x:v>
      </x:c>
      <x:c r="B44" s="19"/>
      <x:c r="C44" s="19"/>
      <x:c r="D44" s="55" t="n">
        <x:v>5</x:v>
      </x:c>
      <x:c r="E44" s="65"/>
      <x:c r="F44" s="71" t="str">
        <x:f>IF(OR(A44="",B44="",E44=""),"",COUNTIFS($A$6:$A$90,A44,$E$6:$E$90,"&gt;"&amp;E44)+1)</x:f>
      </x:c>
      <x:c r="G44" s="71" t="str">
        <x:f>IF(F44="","",F44)</x:f>
      </x:c>
      <x:c r="H44" s="1"/>
      <x:c r="I44" s="1"/>
      <x:c r="J44" s="1"/>
      <x:c r="K44" s="1"/>
      <x:c r="L44" s="1"/>
    </x:row>
    <x:row r="45">
      <x:c r="A45" s="33" t="str">
        <x:v>C</x:v>
      </x:c>
      <x:c r="B45" s="19"/>
      <x:c r="C45" s="19"/>
      <x:c r="D45" s="55" t="n">
        <x:v>6</x:v>
      </x:c>
      <x:c r="E45" s="65"/>
      <x:c r="F45" s="71" t="str">
        <x:f>IF(OR(A45="",B45="",E45=""),"",COUNTIFS($A$6:$A$90,A45,$E$6:$E$90,"&gt;"&amp;E45)+1)</x:f>
      </x:c>
      <x:c r="G45" s="71" t="str">
        <x:f>IF(F45="","",F45)</x:f>
      </x:c>
      <x:c r="H45" s="1"/>
      <x:c r="I45" s="1"/>
      <x:c r="J45" s="1"/>
      <x:c r="K45" s="1"/>
      <x:c r="L45" s="1"/>
    </x:row>
    <x:row r="46">
      <x:c r="A46" s="33" t="str">
        <x:v>C</x:v>
      </x:c>
      <x:c r="B46" s="19"/>
      <x:c r="C46" s="19"/>
      <x:c r="D46" s="55" t="n">
        <x:v>7</x:v>
      </x:c>
      <x:c r="E46" s="65"/>
      <x:c r="F46" s="71" t="str">
        <x:f>IF(OR(A46="",B46="",E46=""),"",COUNTIFS($A$6:$A$90,A46,$E$6:$E$90,"&gt;"&amp;E46)+1)</x:f>
      </x:c>
      <x:c r="G46" s="71" t="str">
        <x:f>IF(F46="","",F46)</x:f>
      </x:c>
      <x:c r="H46" s="1"/>
      <x:c r="I46" s="1"/>
      <x:c r="J46" s="1"/>
      <x:c r="K46" s="1"/>
      <x:c r="L46" s="1"/>
    </x:row>
    <x:row r="47">
      <x:c r="A47" s="33" t="str">
        <x:v>C</x:v>
      </x:c>
      <x:c r="B47" s="19"/>
      <x:c r="C47" s="19"/>
      <x:c r="D47" s="55" t="n">
        <x:v>8</x:v>
      </x:c>
      <x:c r="E47" s="65"/>
      <x:c r="F47" s="71" t="str">
        <x:f>IF(OR(A47="",B47="",E47=""),"",COUNTIFS($A$6:$A$90,A47,$E$6:$E$90,"&gt;"&amp;E47)+1)</x:f>
      </x:c>
      <x:c r="G47" s="71" t="str">
        <x:f>IF(F47="","",F47)</x:f>
      </x:c>
      <x:c r="H47" s="1"/>
      <x:c r="I47" s="1"/>
      <x:c r="J47" s="1"/>
      <x:c r="K47" s="1"/>
      <x:c r="L47" s="1"/>
    </x:row>
    <x:row r="48">
      <x:c r="A48" s="33" t="str">
        <x:v>C</x:v>
      </x:c>
      <x:c r="B48" s="19"/>
      <x:c r="C48" s="19"/>
      <x:c r="D48" s="55" t="n">
        <x:v>9</x:v>
      </x:c>
      <x:c r="E48" s="65"/>
      <x:c r="F48" s="71" t="str">
        <x:f>IF(OR(A48="",B48="",E48=""),"",COUNTIFS($A$6:$A$90,A48,$E$6:$E$90,"&gt;"&amp;E48)+1)</x:f>
      </x:c>
      <x:c r="G48" s="71" t="str">
        <x:f>IF(F48="","",F48)</x:f>
      </x:c>
      <x:c r="H48" s="1"/>
      <x:c r="I48" s="1"/>
      <x:c r="J48" s="1"/>
      <x:c r="K48" s="1"/>
      <x:c r="L48" s="1"/>
    </x:row>
    <x:row r="49">
      <x:c r="A49" s="33" t="str">
        <x:v>C</x:v>
      </x:c>
      <x:c r="B49" s="19"/>
      <x:c r="C49" s="19"/>
      <x:c r="D49" s="55" t="n">
        <x:v>10</x:v>
      </x:c>
      <x:c r="E49" s="65"/>
      <x:c r="F49" s="71" t="str">
        <x:f>IF(OR(A49="",B49="",E49=""),"",COUNTIFS($A$6:$A$90,A49,$E$6:$E$90,"&gt;"&amp;E49)+1)</x:f>
      </x:c>
      <x:c r="G49" s="71" t="str">
        <x:f>IF(F49="","",F49)</x:f>
      </x:c>
      <x:c r="H49" s="1"/>
      <x:c r="I49" s="1"/>
      <x:c r="J49" s="1"/>
      <x:c r="K49" s="1"/>
      <x:c r="L49" s="1"/>
    </x:row>
    <x:row r="50">
      <x:c r="A50" s="33" t="str">
        <x:v>C</x:v>
      </x:c>
      <x:c r="B50" s="19"/>
      <x:c r="C50" s="19"/>
      <x:c r="D50" s="55" t="n">
        <x:v>11</x:v>
      </x:c>
      <x:c r="E50" s="65"/>
      <x:c r="F50" s="71" t="str">
        <x:f>IF(OR(A50="",B50="",E50=""),"",COUNTIFS($A$6:$A$90,A50,$E$6:$E$90,"&gt;"&amp;E50)+1)</x:f>
      </x:c>
      <x:c r="G50" s="71" t="str">
        <x:f>IF(F50="","",F50)</x:f>
      </x:c>
      <x:c r="H50" s="1"/>
      <x:c r="I50" s="1"/>
      <x:c r="J50" s="1"/>
      <x:c r="K50" s="1"/>
      <x:c r="L50" s="1"/>
    </x:row>
    <x:row r="51">
      <x:c r="A51" s="33" t="str">
        <x:v>C</x:v>
      </x:c>
      <x:c r="B51" s="19"/>
      <x:c r="C51" s="19"/>
      <x:c r="D51" s="55" t="n">
        <x:v>12</x:v>
      </x:c>
      <x:c r="E51" s="65"/>
      <x:c r="F51" s="71" t="str">
        <x:f>IF(OR(A51="",B51="",E51=""),"",COUNTIFS($A$6:$A$90,A51,$E$6:$E$90,"&gt;"&amp;E51)+1)</x:f>
      </x:c>
      <x:c r="G51" s="71" t="str">
        <x:f>IF(F51="","",F51)</x:f>
      </x:c>
      <x:c r="H51" s="1"/>
      <x:c r="I51" s="1"/>
      <x:c r="J51" s="1"/>
      <x:c r="K51" s="1"/>
      <x:c r="L51" s="1"/>
    </x:row>
    <x:row r="52">
      <x:c r="A52" s="33" t="str">
        <x:v>C</x:v>
      </x:c>
      <x:c r="B52" s="19"/>
      <x:c r="C52" s="19"/>
      <x:c r="D52" s="55" t="n">
        <x:v>13</x:v>
      </x:c>
      <x:c r="E52" s="65"/>
      <x:c r="F52" s="71" t="str">
        <x:f>IF(OR(A52="",B52="",E52=""),"",COUNTIFS($A$6:$A$90,A52,$E$6:$E$90,"&gt;"&amp;E52)+1)</x:f>
      </x:c>
      <x:c r="G52" s="71" t="str">
        <x:f>IF(F52="","",F52)</x:f>
      </x:c>
      <x:c r="H52" s="1"/>
      <x:c r="I52" s="1"/>
      <x:c r="J52" s="1"/>
      <x:c r="K52" s="1"/>
      <x:c r="L52" s="1"/>
    </x:row>
    <x:row r="53">
      <x:c r="A53" s="33" t="str">
        <x:v>C</x:v>
      </x:c>
      <x:c r="B53" s="19"/>
      <x:c r="C53" s="19"/>
      <x:c r="D53" s="55" t="n">
        <x:v>14</x:v>
      </x:c>
      <x:c r="E53" s="65"/>
      <x:c r="F53" s="71" t="str">
        <x:f>IF(OR(A53="",B53="",E53=""),"",COUNTIFS($A$6:$A$90,A53,$E$6:$E$90,"&gt;"&amp;E53)+1)</x:f>
      </x:c>
      <x:c r="G53" s="71" t="str">
        <x:f>IF(F53="","",F53)</x:f>
      </x:c>
      <x:c r="H53" s="1"/>
      <x:c r="I53" s="1"/>
      <x:c r="J53" s="1"/>
      <x:c r="K53" s="1"/>
      <x:c r="L53" s="1"/>
    </x:row>
    <x:row r="54">
      <x:c r="A54" s="33" t="str">
        <x:v>C</x:v>
      </x:c>
      <x:c r="B54" s="19"/>
      <x:c r="C54" s="19"/>
      <x:c r="D54" s="55" t="n">
        <x:v>15</x:v>
      </x:c>
      <x:c r="E54" s="65"/>
      <x:c r="F54" s="71" t="str">
        <x:f>IF(OR(A54="",B54="",E54=""),"",COUNTIFS($A$6:$A$90,A54,$E$6:$E$90,"&gt;"&amp;E54)+1)</x:f>
      </x:c>
      <x:c r="G54" s="71" t="str">
        <x:f>IF(F54="","",F54)</x:f>
      </x:c>
      <x:c r="H54" s="1"/>
      <x:c r="I54" s="1"/>
      <x:c r="J54" s="1"/>
      <x:c r="K54" s="1"/>
      <x:c r="L54" s="1"/>
    </x:row>
    <x:row r="55">
      <x:c r="A55" s="33" t="str">
        <x:v>C</x:v>
      </x:c>
      <x:c r="B55" s="19"/>
      <x:c r="C55" s="19"/>
      <x:c r="D55" s="55" t="n">
        <x:v>16</x:v>
      </x:c>
      <x:c r="E55" s="65"/>
      <x:c r="F55" s="71" t="str">
        <x:f>IF(OR(A55="",B55="",E55=""),"",COUNTIFS($A$6:$A$90,A55,$E$6:$E$90,"&gt;"&amp;E55)+1)</x:f>
      </x:c>
      <x:c r="G55" s="71" t="str">
        <x:f>IF(F55="","",F55)</x:f>
      </x:c>
      <x:c r="H55" s="1"/>
      <x:c r="I55" s="1"/>
      <x:c r="J55" s="1"/>
      <x:c r="K55" s="1"/>
      <x:c r="L55" s="1"/>
    </x:row>
    <x:row r="56">
      <x:c r="A56" s="33" t="str">
        <x:v>C</x:v>
      </x:c>
      <x:c r="B56" s="19"/>
      <x:c r="C56" s="19"/>
      <x:c r="D56" s="55" t="n">
        <x:v>17</x:v>
      </x:c>
      <x:c r="E56" s="65"/>
      <x:c r="F56" s="71" t="str">
        <x:f>IF(OR(A56="",B56="",E56=""),"",COUNTIFS($A$6:$A$90,A56,$E$6:$E$90,"&gt;"&amp;E56)+1)</x:f>
      </x:c>
      <x:c r="G56" s="71" t="str">
        <x:f>IF(F56="","",F56)</x:f>
      </x:c>
      <x:c r="H56" s="1"/>
      <x:c r="I56" s="1"/>
      <x:c r="J56" s="1"/>
      <x:c r="K56" s="1"/>
      <x:c r="L56" s="1"/>
    </x:row>
    <x:row r="57">
      <x:c r="A57" s="34" t="str">
        <x:v>D</x:v>
      </x:c>
      <x:c r="B57" s="26"/>
      <x:c r="C57" s="26"/>
      <x:c r="D57" s="56" t="n">
        <x:v>1</x:v>
      </x:c>
      <x:c r="E57" s="66"/>
      <x:c r="F57" s="70" t="str">
        <x:f>IF(OR(A57="",B57="",E57=""),"",COUNTIFS($A$6:$A$90,A57,$E$6:$E$90,"&gt;"&amp;E57)+1)</x:f>
      </x:c>
      <x:c r="G57" s="70" t="str">
        <x:f>IF(F57="","",F57)</x:f>
      </x:c>
      <x:c r="H57" s="1"/>
      <x:c r="I57" s="1"/>
      <x:c r="J57" s="1"/>
      <x:c r="K57" s="1"/>
      <x:c r="L57" s="1"/>
    </x:row>
    <x:row r="58">
      <x:c r="A58" s="35" t="str">
        <x:v>D</x:v>
      </x:c>
      <x:c r="B58" s="20"/>
      <x:c r="C58" s="20"/>
      <x:c r="D58" s="57" t="n">
        <x:v>2</x:v>
      </x:c>
      <x:c r="E58" s="67"/>
      <x:c r="F58" s="71" t="str">
        <x:f>IF(OR(A58="",B58="",E58=""),"",COUNTIFS($A$6:$A$90,A58,$E$6:$E$90,"&gt;"&amp;E58)+1)</x:f>
      </x:c>
      <x:c r="G58" s="71" t="str">
        <x:f>IF(F58="","",F58)</x:f>
      </x:c>
      <x:c r="H58" s="1"/>
      <x:c r="I58" s="1"/>
      <x:c r="J58" s="1"/>
      <x:c r="K58" s="1"/>
      <x:c r="L58" s="1"/>
    </x:row>
    <x:row r="59">
      <x:c r="A59" s="35" t="str">
        <x:v>D</x:v>
      </x:c>
      <x:c r="B59" s="20"/>
      <x:c r="C59" s="20"/>
      <x:c r="D59" s="57" t="n">
        <x:v>3</x:v>
      </x:c>
      <x:c r="E59" s="67"/>
      <x:c r="F59" s="71" t="str">
        <x:f>IF(OR(A59="",B59="",E59=""),"",COUNTIFS($A$6:$A$90,A59,$E$6:$E$90,"&gt;"&amp;E59)+1)</x:f>
      </x:c>
      <x:c r="G59" s="71" t="str">
        <x:f>IF(F59="","",F59)</x:f>
      </x:c>
      <x:c r="H59" s="1"/>
      <x:c r="I59" s="1"/>
      <x:c r="J59" s="1"/>
      <x:c r="K59" s="1"/>
      <x:c r="L59" s="1"/>
    </x:row>
    <x:row r="60">
      <x:c r="A60" s="35" t="str">
        <x:v>D</x:v>
      </x:c>
      <x:c r="B60" s="20"/>
      <x:c r="C60" s="20"/>
      <x:c r="D60" s="57" t="n">
        <x:v>4</x:v>
      </x:c>
      <x:c r="E60" s="67"/>
      <x:c r="F60" s="71" t="str">
        <x:f>IF(OR(A60="",B60="",E60=""),"",COUNTIFS($A$6:$A$90,A60,$E$6:$E$90,"&gt;"&amp;E60)+1)</x:f>
      </x:c>
      <x:c r="G60" s="71" t="str">
        <x:f>IF(F60="","",F60)</x:f>
      </x:c>
      <x:c r="H60" s="1"/>
      <x:c r="I60" s="1"/>
      <x:c r="J60" s="1"/>
      <x:c r="K60" s="1"/>
      <x:c r="L60" s="1"/>
    </x:row>
    <x:row r="61">
      <x:c r="A61" s="35" t="str">
        <x:v>D</x:v>
      </x:c>
      <x:c r="B61" s="20"/>
      <x:c r="C61" s="20"/>
      <x:c r="D61" s="57" t="n">
        <x:v>5</x:v>
      </x:c>
      <x:c r="E61" s="67"/>
      <x:c r="F61" s="71" t="str">
        <x:f>IF(OR(A61="",B61="",E61=""),"",COUNTIFS($A$6:$A$90,A61,$E$6:$E$90,"&gt;"&amp;E61)+1)</x:f>
      </x:c>
      <x:c r="G61" s="71" t="str">
        <x:f>IF(F61="","",F61)</x:f>
      </x:c>
      <x:c r="H61" s="1"/>
      <x:c r="I61" s="1"/>
      <x:c r="J61" s="1"/>
      <x:c r="K61" s="1"/>
      <x:c r="L61" s="1"/>
    </x:row>
    <x:row r="62">
      <x:c r="A62" s="35" t="str">
        <x:v>D</x:v>
      </x:c>
      <x:c r="B62" s="20"/>
      <x:c r="C62" s="20"/>
      <x:c r="D62" s="57" t="n">
        <x:v>6</x:v>
      </x:c>
      <x:c r="E62" s="67"/>
      <x:c r="F62" s="71" t="str">
        <x:f>IF(OR(A62="",B62="",E62=""),"",COUNTIFS($A$6:$A$90,A62,$E$6:$E$90,"&gt;"&amp;E62)+1)</x:f>
      </x:c>
      <x:c r="G62" s="71" t="str">
        <x:f>IF(F62="","",F62)</x:f>
      </x:c>
      <x:c r="H62" s="1"/>
      <x:c r="I62" s="1"/>
      <x:c r="J62" s="1"/>
      <x:c r="K62" s="1"/>
      <x:c r="L62" s="1"/>
    </x:row>
    <x:row r="63">
      <x:c r="A63" s="35" t="str">
        <x:v>D</x:v>
      </x:c>
      <x:c r="B63" s="20"/>
      <x:c r="C63" s="20"/>
      <x:c r="D63" s="57" t="n">
        <x:v>7</x:v>
      </x:c>
      <x:c r="E63" s="67"/>
      <x:c r="F63" s="71" t="str">
        <x:f>IF(OR(A63="",B63="",E63=""),"",COUNTIFS($A$6:$A$90,A63,$E$6:$E$90,"&gt;"&amp;E63)+1)</x:f>
      </x:c>
      <x:c r="G63" s="71" t="str">
        <x:f>IF(F63="","",F63)</x:f>
      </x:c>
      <x:c r="H63" s="1"/>
      <x:c r="I63" s="1"/>
      <x:c r="J63" s="1"/>
      <x:c r="K63" s="1"/>
      <x:c r="L63" s="1"/>
    </x:row>
    <x:row r="64">
      <x:c r="A64" s="35" t="str">
        <x:v>D</x:v>
      </x:c>
      <x:c r="B64" s="20"/>
      <x:c r="C64" s="20"/>
      <x:c r="D64" s="57" t="n">
        <x:v>8</x:v>
      </x:c>
      <x:c r="E64" s="67"/>
      <x:c r="F64" s="71" t="str">
        <x:f>IF(OR(A64="",B64="",E64=""),"",COUNTIFS($A$6:$A$90,A64,$E$6:$E$90,"&gt;"&amp;E64)+1)</x:f>
      </x:c>
      <x:c r="G64" s="71" t="str">
        <x:f>IF(F64="","",F64)</x:f>
      </x:c>
      <x:c r="H64" s="1"/>
      <x:c r="I64" s="1"/>
      <x:c r="J64" s="1"/>
      <x:c r="K64" s="1"/>
      <x:c r="L64" s="1"/>
    </x:row>
    <x:row r="65">
      <x:c r="A65" s="35" t="str">
        <x:v>D</x:v>
      </x:c>
      <x:c r="B65" s="20"/>
      <x:c r="C65" s="20"/>
      <x:c r="D65" s="57" t="n">
        <x:v>9</x:v>
      </x:c>
      <x:c r="E65" s="67"/>
      <x:c r="F65" s="71" t="str">
        <x:f>IF(OR(A65="",B65="",E65=""),"",COUNTIFS($A$6:$A$90,A65,$E$6:$E$90,"&gt;"&amp;E65)+1)</x:f>
      </x:c>
      <x:c r="G65" s="71" t="str">
        <x:f>IF(F65="","",F65)</x:f>
      </x:c>
      <x:c r="H65" s="1"/>
      <x:c r="I65" s="1"/>
      <x:c r="J65" s="1"/>
      <x:c r="K65" s="1"/>
      <x:c r="L65" s="1"/>
    </x:row>
    <x:row r="66">
      <x:c r="A66" s="35" t="str">
        <x:v>D</x:v>
      </x:c>
      <x:c r="B66" s="20"/>
      <x:c r="C66" s="20"/>
      <x:c r="D66" s="57" t="n">
        <x:v>10</x:v>
      </x:c>
      <x:c r="E66" s="67"/>
      <x:c r="F66" s="71" t="str">
        <x:f>IF(OR(A66="",B66="",E66=""),"",COUNTIFS($A$6:$A$90,A66,$E$6:$E$90,"&gt;"&amp;E66)+1)</x:f>
      </x:c>
      <x:c r="G66" s="71" t="str">
        <x:f>IF(F66="","",F66)</x:f>
      </x:c>
      <x:c r="H66" s="1"/>
      <x:c r="I66" s="1"/>
      <x:c r="J66" s="1"/>
      <x:c r="K66" s="1"/>
      <x:c r="L66" s="1"/>
    </x:row>
    <x:row r="67">
      <x:c r="A67" s="35" t="str">
        <x:v>D</x:v>
      </x:c>
      <x:c r="B67" s="20"/>
      <x:c r="C67" s="20"/>
      <x:c r="D67" s="57" t="n">
        <x:v>11</x:v>
      </x:c>
      <x:c r="E67" s="67"/>
      <x:c r="F67" s="71" t="str">
        <x:f>IF(OR(A67="",B67="",E67=""),"",COUNTIFS($A$6:$A$90,A67,$E$6:$E$90,"&gt;"&amp;E67)+1)</x:f>
      </x:c>
      <x:c r="G67" s="71" t="str">
        <x:f>IF(F67="","",F67)</x:f>
      </x:c>
      <x:c r="H67" s="1"/>
      <x:c r="I67" s="1"/>
      <x:c r="J67" s="1"/>
      <x:c r="K67" s="1"/>
      <x:c r="L67" s="1"/>
    </x:row>
    <x:row r="68">
      <x:c r="A68" s="35" t="str">
        <x:v>D</x:v>
      </x:c>
      <x:c r="B68" s="20"/>
      <x:c r="C68" s="20"/>
      <x:c r="D68" s="57" t="n">
        <x:v>12</x:v>
      </x:c>
      <x:c r="E68" s="67"/>
      <x:c r="F68" s="71" t="str">
        <x:f>IF(OR(A68="",B68="",E68=""),"",COUNTIFS($A$6:$A$90,A68,$E$6:$E$90,"&gt;"&amp;E68)+1)</x:f>
      </x:c>
      <x:c r="G68" s="71" t="str">
        <x:f>IF(F68="","",F68)</x:f>
      </x:c>
      <x:c r="H68" s="1"/>
      <x:c r="I68" s="1"/>
      <x:c r="J68" s="1"/>
      <x:c r="K68" s="1"/>
      <x:c r="L68" s="1"/>
    </x:row>
    <x:row r="69">
      <x:c r="A69" s="35" t="str">
        <x:v>D</x:v>
      </x:c>
      <x:c r="B69" s="20"/>
      <x:c r="C69" s="20"/>
      <x:c r="D69" s="57" t="n">
        <x:v>13</x:v>
      </x:c>
      <x:c r="E69" s="67"/>
      <x:c r="F69" s="71" t="str">
        <x:f>IF(OR(A69="",B69="",E69=""),"",COUNTIFS($A$6:$A$90,A69,$E$6:$E$90,"&gt;"&amp;E69)+1)</x:f>
      </x:c>
      <x:c r="G69" s="71" t="str">
        <x:f>IF(F69="","",F69)</x:f>
      </x:c>
      <x:c r="H69" s="1"/>
      <x:c r="I69" s="1"/>
      <x:c r="J69" s="1"/>
      <x:c r="K69" s="1"/>
      <x:c r="L69" s="1"/>
    </x:row>
    <x:row r="70">
      <x:c r="A70" s="35" t="str">
        <x:v>D</x:v>
      </x:c>
      <x:c r="B70" s="20"/>
      <x:c r="C70" s="20"/>
      <x:c r="D70" s="57" t="n">
        <x:v>14</x:v>
      </x:c>
      <x:c r="E70" s="67"/>
      <x:c r="F70" s="71" t="str">
        <x:f>IF(OR(A70="",B70="",E70=""),"",COUNTIFS($A$6:$A$90,A70,$E$6:$E$90,"&gt;"&amp;E70)+1)</x:f>
      </x:c>
      <x:c r="G70" s="71" t="str">
        <x:f>IF(F70="","",F70)</x:f>
      </x:c>
      <x:c r="H70" s="1"/>
      <x:c r="I70" s="1"/>
      <x:c r="J70" s="1"/>
      <x:c r="K70" s="1"/>
      <x:c r="L70" s="1"/>
    </x:row>
    <x:row r="71">
      <x:c r="A71" s="35" t="str">
        <x:v>D</x:v>
      </x:c>
      <x:c r="B71" s="20"/>
      <x:c r="C71" s="20"/>
      <x:c r="D71" s="57" t="n">
        <x:v>15</x:v>
      </x:c>
      <x:c r="E71" s="67"/>
      <x:c r="F71" s="71" t="str">
        <x:f>IF(OR(A71="",B71="",E71=""),"",COUNTIFS($A$6:$A$90,A71,$E$6:$E$90,"&gt;"&amp;E71)+1)</x:f>
      </x:c>
      <x:c r="G71" s="71" t="str">
        <x:f>IF(F71="","",F71)</x:f>
      </x:c>
      <x:c r="H71" s="1"/>
      <x:c r="I71" s="1"/>
      <x:c r="J71" s="1"/>
      <x:c r="K71" s="1"/>
      <x:c r="L71" s="1"/>
    </x:row>
    <x:row r="72">
      <x:c r="A72" s="35" t="str">
        <x:v>D</x:v>
      </x:c>
      <x:c r="B72" s="20"/>
      <x:c r="C72" s="20"/>
      <x:c r="D72" s="57" t="n">
        <x:v>16</x:v>
      </x:c>
      <x:c r="E72" s="67"/>
      <x:c r="F72" s="71" t="str">
        <x:f>IF(OR(A72="",B72="",E72=""),"",COUNTIFS($A$6:$A$90,A72,$E$6:$E$90,"&gt;"&amp;E72)+1)</x:f>
      </x:c>
      <x:c r="G72" s="71" t="str">
        <x:f>IF(F72="","",F72)</x:f>
      </x:c>
      <x:c r="H72" s="1"/>
      <x:c r="I72" s="1"/>
      <x:c r="J72" s="1"/>
      <x:c r="K72" s="1"/>
      <x:c r="L72" s="1"/>
    </x:row>
    <x:row r="73">
      <x:c r="A73" s="35" t="str">
        <x:v>D</x:v>
      </x:c>
      <x:c r="B73" s="20"/>
      <x:c r="C73" s="20"/>
      <x:c r="D73" s="57" t="n">
        <x:v>17</x:v>
      </x:c>
      <x:c r="E73" s="67"/>
      <x:c r="F73" s="71" t="str">
        <x:f>IF(OR(A73="",B73="",E73=""),"",COUNTIFS($A$6:$A$90,A73,$E$6:$E$90,"&gt;"&amp;E73)+1)</x:f>
      </x:c>
      <x:c r="G73" s="71" t="str">
        <x:f>IF(F73="","",F73)</x:f>
      </x:c>
      <x:c r="H73" s="1"/>
      <x:c r="I73" s="1"/>
      <x:c r="J73" s="1"/>
      <x:c r="K73" s="1"/>
      <x:c r="L73" s="1"/>
    </x:row>
    <x:row r="74">
      <x:c r="A74" s="36" t="str">
        <x:v>E</x:v>
      </x:c>
      <x:c r="B74" s="27"/>
      <x:c r="C74" s="27"/>
      <x:c r="D74" s="58" t="n">
        <x:v>1</x:v>
      </x:c>
      <x:c r="E74" s="68"/>
      <x:c r="F74" s="70" t="str">
        <x:f>IF(OR(A74="",B74="",E74=""),"",COUNTIFS($A$6:$A$90,A74,$E$6:$E$90,"&gt;"&amp;E74)+1)</x:f>
      </x:c>
      <x:c r="G74" s="70" t="str">
        <x:f>IF(F74="","",F74)</x:f>
      </x:c>
      <x:c r="H74" s="1"/>
      <x:c r="I74" s="1"/>
      <x:c r="J74" s="1"/>
      <x:c r="K74" s="1"/>
      <x:c r="L74" s="1"/>
    </x:row>
    <x:row r="75">
      <x:c r="A75" s="37" t="str">
        <x:v>E</x:v>
      </x:c>
      <x:c r="B75" s="21"/>
      <x:c r="C75" s="21"/>
      <x:c r="D75" s="59" t="n">
        <x:v>2</x:v>
      </x:c>
      <x:c r="E75" s="69"/>
      <x:c r="F75" s="71" t="str">
        <x:f>IF(OR(A75="",B75="",E75=""),"",COUNTIFS($A$6:$A$90,A75,$E$6:$E$90,"&gt;"&amp;E75)+1)</x:f>
      </x:c>
      <x:c r="G75" s="71" t="str">
        <x:f>IF(F75="","",F75)</x:f>
      </x:c>
      <x:c r="H75" s="1"/>
      <x:c r="I75" s="1"/>
      <x:c r="J75" s="1"/>
      <x:c r="K75" s="1"/>
      <x:c r="L75" s="1"/>
    </x:row>
    <x:row r="76">
      <x:c r="A76" s="37" t="str">
        <x:v>E</x:v>
      </x:c>
      <x:c r="B76" s="21"/>
      <x:c r="C76" s="21"/>
      <x:c r="D76" s="59" t="n">
        <x:v>3</x:v>
      </x:c>
      <x:c r="E76" s="69"/>
      <x:c r="F76" s="71" t="str">
        <x:f>IF(OR(A76="",B76="",E76=""),"",COUNTIFS($A$6:$A$90,A76,$E$6:$E$90,"&gt;"&amp;E76)+1)</x:f>
      </x:c>
      <x:c r="G76" s="71" t="str">
        <x:f>IF(F76="","",F76)</x:f>
      </x:c>
      <x:c r="H76" s="1"/>
      <x:c r="I76" s="1"/>
      <x:c r="J76" s="1"/>
      <x:c r="K76" s="1"/>
      <x:c r="L76" s="1"/>
    </x:row>
    <x:row r="77">
      <x:c r="A77" s="37" t="str">
        <x:v>E</x:v>
      </x:c>
      <x:c r="B77" s="21"/>
      <x:c r="C77" s="21"/>
      <x:c r="D77" s="59" t="n">
        <x:v>4</x:v>
      </x:c>
      <x:c r="E77" s="69"/>
      <x:c r="F77" s="71" t="str">
        <x:f>IF(OR(A77="",B77="",E77=""),"",COUNTIFS($A$6:$A$90,A77,$E$6:$E$90,"&gt;"&amp;E77)+1)</x:f>
      </x:c>
      <x:c r="G77" s="71" t="str">
        <x:f>IF(F77="","",F77)</x:f>
      </x:c>
      <x:c r="H77" s="1"/>
      <x:c r="I77" s="1"/>
      <x:c r="J77" s="1"/>
      <x:c r="K77" s="1"/>
      <x:c r="L77" s="1"/>
    </x:row>
    <x:row r="78">
      <x:c r="A78" s="37" t="str">
        <x:v>E</x:v>
      </x:c>
      <x:c r="B78" s="21"/>
      <x:c r="C78" s="21"/>
      <x:c r="D78" s="59" t="n">
        <x:v>5</x:v>
      </x:c>
      <x:c r="E78" s="69"/>
      <x:c r="F78" s="71" t="str">
        <x:f>IF(OR(A78="",B78="",E78=""),"",COUNTIFS($A$6:$A$90,A78,$E$6:$E$90,"&gt;"&amp;E78)+1)</x:f>
      </x:c>
      <x:c r="G78" s="71" t="str">
        <x:f>IF(F78="","",F78)</x:f>
      </x:c>
      <x:c r="H78" s="1"/>
      <x:c r="I78" s="1"/>
      <x:c r="J78" s="1"/>
      <x:c r="K78" s="1"/>
      <x:c r="L78" s="1"/>
    </x:row>
    <x:row r="79">
      <x:c r="A79" s="37" t="str">
        <x:v>E</x:v>
      </x:c>
      <x:c r="B79" s="21"/>
      <x:c r="C79" s="21"/>
      <x:c r="D79" s="59" t="n">
        <x:v>6</x:v>
      </x:c>
      <x:c r="E79" s="69"/>
      <x:c r="F79" s="71" t="str">
        <x:f>IF(OR(A79="",B79="",E79=""),"",COUNTIFS($A$6:$A$90,A79,$E$6:$E$90,"&gt;"&amp;E79)+1)</x:f>
      </x:c>
      <x:c r="G79" s="71" t="str">
        <x:f>IF(F79="","",F79)</x:f>
      </x:c>
      <x:c r="H79" s="1"/>
      <x:c r="I79" s="1"/>
      <x:c r="J79" s="1"/>
      <x:c r="K79" s="1"/>
      <x:c r="L79" s="1"/>
    </x:row>
    <x:row r="80">
      <x:c r="A80" s="37" t="str">
        <x:v>E</x:v>
      </x:c>
      <x:c r="B80" s="21"/>
      <x:c r="C80" s="21"/>
      <x:c r="D80" s="59" t="n">
        <x:v>7</x:v>
      </x:c>
      <x:c r="E80" s="69"/>
      <x:c r="F80" s="71" t="str">
        <x:f>IF(OR(A80="",B80="",E80=""),"",COUNTIFS($A$6:$A$90,A80,$E$6:$E$90,"&gt;"&amp;E80)+1)</x:f>
      </x:c>
      <x:c r="G80" s="71" t="str">
        <x:f>IF(F80="","",F80)</x:f>
      </x:c>
      <x:c r="H80" s="1"/>
      <x:c r="I80" s="1"/>
      <x:c r="J80" s="1"/>
      <x:c r="K80" s="1"/>
      <x:c r="L80" s="1"/>
    </x:row>
    <x:row r="81">
      <x:c r="A81" s="37" t="str">
        <x:v>E</x:v>
      </x:c>
      <x:c r="B81" s="21"/>
      <x:c r="C81" s="21"/>
      <x:c r="D81" s="59" t="n">
        <x:v>8</x:v>
      </x:c>
      <x:c r="E81" s="69"/>
      <x:c r="F81" s="71" t="str">
        <x:f>IF(OR(A81="",B81="",E81=""),"",COUNTIFS($A$6:$A$90,A81,$E$6:$E$90,"&gt;"&amp;E81)+1)</x:f>
      </x:c>
      <x:c r="G81" s="71" t="str">
        <x:f>IF(F81="","",F81)</x:f>
      </x:c>
      <x:c r="H81" s="1"/>
      <x:c r="I81" s="1"/>
      <x:c r="J81" s="1"/>
      <x:c r="K81" s="1"/>
      <x:c r="L81" s="1"/>
    </x:row>
    <x:row r="82">
      <x:c r="A82" s="37" t="str">
        <x:v>E</x:v>
      </x:c>
      <x:c r="B82" s="21"/>
      <x:c r="C82" s="21"/>
      <x:c r="D82" s="59" t="n">
        <x:v>9</x:v>
      </x:c>
      <x:c r="E82" s="69"/>
      <x:c r="F82" s="71" t="str">
        <x:f>IF(OR(A82="",B82="",E82=""),"",COUNTIFS($A$6:$A$90,A82,$E$6:$E$90,"&gt;"&amp;E82)+1)</x:f>
      </x:c>
      <x:c r="G82" s="71" t="str">
        <x:f>IF(F82="","",F82)</x:f>
      </x:c>
      <x:c r="H82" s="1"/>
      <x:c r="I82" s="1"/>
      <x:c r="J82" s="1"/>
      <x:c r="K82" s="1"/>
      <x:c r="L82" s="1"/>
    </x:row>
    <x:row r="83">
      <x:c r="A83" s="37" t="str">
        <x:v>E</x:v>
      </x:c>
      <x:c r="B83" s="21"/>
      <x:c r="C83" s="21"/>
      <x:c r="D83" s="59" t="n">
        <x:v>10</x:v>
      </x:c>
      <x:c r="E83" s="69"/>
      <x:c r="F83" s="71" t="str">
        <x:f>IF(OR(A83="",B83="",E83=""),"",COUNTIFS($A$6:$A$90,A83,$E$6:$E$90,"&gt;"&amp;E83)+1)</x:f>
      </x:c>
      <x:c r="G83" s="71" t="str">
        <x:f>IF(F83="","",F83)</x:f>
      </x:c>
      <x:c r="H83" s="1"/>
      <x:c r="I83" s="1"/>
      <x:c r="J83" s="1"/>
      <x:c r="K83" s="1"/>
      <x:c r="L83" s="1"/>
    </x:row>
    <x:row r="84">
      <x:c r="A84" s="37" t="str">
        <x:v>E</x:v>
      </x:c>
      <x:c r="B84" s="21"/>
      <x:c r="C84" s="21"/>
      <x:c r="D84" s="59" t="n">
        <x:v>11</x:v>
      </x:c>
      <x:c r="E84" s="69"/>
      <x:c r="F84" s="71" t="str">
        <x:f>IF(OR(A84="",B84="",E84=""),"",COUNTIFS($A$6:$A$90,A84,$E$6:$E$90,"&gt;"&amp;E84)+1)</x:f>
      </x:c>
      <x:c r="G84" s="71" t="str">
        <x:f>IF(F84="","",F84)</x:f>
      </x:c>
      <x:c r="H84" s="1"/>
      <x:c r="I84" s="1"/>
      <x:c r="J84" s="1"/>
      <x:c r="K84" s="1"/>
      <x:c r="L84" s="1"/>
    </x:row>
    <x:row r="85">
      <x:c r="A85" s="37" t="str">
        <x:v>E</x:v>
      </x:c>
      <x:c r="B85" s="21"/>
      <x:c r="C85" s="21"/>
      <x:c r="D85" s="59" t="n">
        <x:v>12</x:v>
      </x:c>
      <x:c r="E85" s="69"/>
      <x:c r="F85" s="71" t="str">
        <x:f>IF(OR(A85="",B85="",E85=""),"",COUNTIFS($A$6:$A$90,A85,$E$6:$E$90,"&gt;"&amp;E85)+1)</x:f>
      </x:c>
      <x:c r="G85" s="71" t="str">
        <x:f>IF(F85="","",F85)</x:f>
      </x:c>
      <x:c r="H85" s="1"/>
      <x:c r="I85" s="1"/>
      <x:c r="J85" s="1"/>
      <x:c r="K85" s="1"/>
      <x:c r="L85" s="1"/>
    </x:row>
    <x:row r="86">
      <x:c r="A86" s="37" t="str">
        <x:v>E</x:v>
      </x:c>
      <x:c r="B86" s="21"/>
      <x:c r="C86" s="21"/>
      <x:c r="D86" s="59" t="n">
        <x:v>13</x:v>
      </x:c>
      <x:c r="E86" s="69"/>
      <x:c r="F86" s="71" t="str">
        <x:f>IF(OR(A86="",B86="",E86=""),"",COUNTIFS($A$6:$A$90,A86,$E$6:$E$90,"&gt;"&amp;E86)+1)</x:f>
      </x:c>
      <x:c r="G86" s="71" t="str">
        <x:f>IF(F86="","",F86)</x:f>
      </x:c>
      <x:c r="H86" s="1"/>
      <x:c r="I86" s="1"/>
      <x:c r="J86" s="1"/>
      <x:c r="K86" s="1"/>
      <x:c r="L86" s="1"/>
    </x:row>
    <x:row r="87">
      <x:c r="A87" s="37" t="str">
        <x:v>E</x:v>
      </x:c>
      <x:c r="B87" s="21"/>
      <x:c r="C87" s="21"/>
      <x:c r="D87" s="59" t="n">
        <x:v>14</x:v>
      </x:c>
      <x:c r="E87" s="69"/>
      <x:c r="F87" s="71" t="str">
        <x:f>IF(OR(A87="",B87="",E87=""),"",COUNTIFS($A$6:$A$90,A87,$E$6:$E$90,"&gt;"&amp;E87)+1)</x:f>
      </x:c>
      <x:c r="G87" s="71" t="str">
        <x:f>IF(F87="","",F87)</x:f>
      </x:c>
      <x:c r="H87" s="1"/>
      <x:c r="I87" s="1"/>
      <x:c r="J87" s="1"/>
      <x:c r="K87" s="1"/>
      <x:c r="L87" s="1"/>
    </x:row>
    <x:row r="88">
      <x:c r="A88" s="37" t="str">
        <x:v>E</x:v>
      </x:c>
      <x:c r="B88" s="21"/>
      <x:c r="C88" s="21"/>
      <x:c r="D88" s="59" t="n">
        <x:v>15</x:v>
      </x:c>
      <x:c r="E88" s="69"/>
      <x:c r="F88" s="71" t="str">
        <x:f>IF(OR(A88="",B88="",E88=""),"",COUNTIFS($A$6:$A$90,A88,$E$6:$E$90,"&gt;"&amp;E88)+1)</x:f>
      </x:c>
      <x:c r="G88" s="71" t="str">
        <x:f>IF(F88="","",F88)</x:f>
      </x:c>
      <x:c r="H88" s="1"/>
      <x:c r="I88" s="1"/>
      <x:c r="J88" s="1"/>
      <x:c r="K88" s="1"/>
      <x:c r="L88" s="1"/>
    </x:row>
    <x:row r="89">
      <x:c r="A89" s="37" t="str">
        <x:v>E</x:v>
      </x:c>
      <x:c r="B89" s="21"/>
      <x:c r="C89" s="21"/>
      <x:c r="D89" s="59" t="n">
        <x:v>16</x:v>
      </x:c>
      <x:c r="E89" s="69"/>
      <x:c r="F89" s="71" t="str">
        <x:f>IF(OR(A89="",B89="",E89=""),"",COUNTIFS($A$6:$A$90,A89,$E$6:$E$90,"&gt;"&amp;E89)+1)</x:f>
      </x:c>
      <x:c r="G89" s="71" t="str">
        <x:f>IF(F89="","",F89)</x:f>
      </x:c>
      <x:c r="H89" s="1"/>
      <x:c r="I89" s="1"/>
      <x:c r="J89" s="1"/>
      <x:c r="K89" s="1"/>
      <x:c r="L89" s="1"/>
    </x:row>
    <x:row r="90">
      <x:c r="A90" s="37" t="str">
        <x:v>E</x:v>
      </x:c>
      <x:c r="B90" s="21"/>
      <x:c r="C90" s="21"/>
      <x:c r="D90" s="59" t="n">
        <x:v>17</x:v>
      </x:c>
      <x:c r="E90" s="69"/>
      <x:c r="F90" s="71" t="str">
        <x:f>IF(OR(A90="",B90="",E90=""),"",COUNTIFS($A$6:$A$90,A90,$E$6:$E$90,"&gt;"&amp;E90)+1)</x:f>
      </x:c>
      <x:c r="G90" s="71" t="str">
        <x:f>IF(F90="","",F90)</x:f>
      </x:c>
      <x:c r="H90" s="1"/>
      <x:c r="I90" s="1"/>
      <x:c r="J90" s="1"/>
      <x:c r="K90" s="1"/>
      <x:c r="L90" s="1"/>
    </x:row>
  </x:sheetData>
  <x:mergeCells>
    <x:mergeCell ref="A1:G1"/>
    <x:mergeCell ref="A2:G2"/>
    <x:mergeCell ref="A3:G3"/>
    <x:mergeCell ref="I1:L1"/>
  </x:mergeCells>
  <x:conditionalFormatting sqref="F6:G90">
    <x:cfRule type="colorScale" priority="1">
      <x:colorScale>
        <x:cfvo type="min"/>
        <x:cfvo type="percentile" val="50"/>
        <x:cfvo type="max"/>
        <x:color rgb="FFD8F0E5"/>
        <x:color rgb="FFFFF2B8"/>
        <x:color rgb="FFF6C7C3"/>
      </x:colorScale>
    </x:cfRule>
  </x:conditionalFormatting>
  <x:dataValidations count="3">
    <x:dataValidation type="list" sqref="A6:A90">
      <x:formula1>"A,B,C,D,E"</x:formula1>
    </x:dataValidation>
    <x:dataValidation type="whole" operator="between" sqref="D6:D90">
      <x:formula1>1</x:formula1>
      <x:formula2>17</x:formula2>
    </x:dataValidation>
    <x:dataValidation type="whole" operator="between" sqref="E6:E90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45a9238ad5d46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8" hidden="0" customWidth="1"/>
    <x:col min="8" max="8" width="12" hidden="0" customWidth="1"/>
    <x:col min="9" max="9" width="18" hidden="0" customWidth="1"/>
    <x:col min="10" max="10" width="14" hidden="0" customWidth="1"/>
  </x:cols>
  <x:sheetData>
    <x:row r="1" ht="32" customHeight="1">
      <x:c r="A1" s="5" t="str">
        <x:v>GALUTINĖ VARŽYBŲ ĮSKAITA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3" customHeight="1">
      <x:c r="A2" s="9" t="str">
        <x:v>Rikiuojama pagal mažiausią baudos taškų sumą. Jei taškai vienodi, aukščiau yra didesnį bendrą svorį sugavęs sportininkas.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9" t="str">
        <x:v>Įskaita automatiškai perskaičiuojama pagal dvi arba tris užpildytas dienas.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14" t="str">
        <x:v>Vieta</x:v>
      </x:c>
      <x:c r="B5" s="14" t="str">
        <x:v>Vardas Pavardė</x:v>
      </x:c>
      <x:c r="C5" s="14" t="str">
        <x:v>Komanda</x:v>
      </x:c>
      <x:c r="D5" s="14" t="str">
        <x:v>1 d. baudos</x:v>
      </x:c>
      <x:c r="E5" s="14" t="str">
        <x:v>2 d. baudos</x:v>
      </x:c>
      <x:c r="F5" s="14" t="str">
        <x:v>3 d. baudos</x:v>
      </x:c>
      <x:c r="G5" s="14" t="str">
        <x:v>Dienų</x:v>
      </x:c>
      <x:c r="H5" s="14" t="str">
        <x:v>Baudų suma</x:v>
      </x:c>
      <x:c r="I5" s="14" t="str">
        <x:v>Bendras svoris (g)</x:v>
      </x:c>
      <x:c r="J5" s="14" t="str">
        <x:v>Pastaba</x:v>
      </x:c>
    </x:row>
    <x:row r="6">
      <x:c r="A6" s="94" t="str">
        <x:f>IF(B6="","",1+COUNTIFS($H$6:$H$90,"&gt;0",$H$6:$H$90,"&lt;"&amp;H6)+COUNTIFS($H$6:$H$90,H6,$I$6:$I$90,"&gt;"&amp;I6))</x:f>
      </x:c>
      <x:c r="B6" s="82" t="str">
        <x:f>IF('Pirma diena'!B6="","",'Pirma diena'!B6)</x:f>
      </x:c>
      <x:c r="C6" s="82" t="str">
        <x:f>IF(B6="","",'Pirma diena'!C6)</x:f>
      </x:c>
      <x:c r="D6" s="97" t="str">
        <x:f>IF(B6="","",IF(COUNTIF('Pirma diena'!$B$6:$B$90,B6)=0,"",SUMIF('Pirma diena'!$B$6:$B$90,B6,'Pirma diena'!$G$6:$G$90)))</x:f>
      </x:c>
      <x:c r="E6" s="97" t="str">
        <x:f>IF(B6="","",IF(COUNTIF('Antra diena'!$B$6:$B$90,B6)=0,"",SUMIF('Antra diena'!$B$6:$B$90,B6,'Antra diena'!$G$6:$G$90)))</x:f>
      </x:c>
      <x:c r="F6" s="97" t="str">
        <x:f>IF(B6="","",IF(COUNTIF('Trečia diena'!$B$6:$B$90,B6)=0,"",SUMIF('Trečia diena'!$B$6:$B$90,B6,'Trečia diena'!$G$6:$G$90)))</x:f>
      </x:c>
      <x:c r="G6" s="97" t="str">
        <x:f>IF(B6="","",COUNT(D6:F6))</x:f>
      </x:c>
      <x:c r="H6" s="97" t="str">
        <x:f>IF(B6="","",SUM(D6:F6))</x:f>
      </x:c>
      <x:c r="I6" s="100" t="str">
        <x:f>IF(B6="","",SUMIF('Pirma diena'!$B$6:$B$90,B6,'Pirma diena'!$E$6:$E$90)+SUMIF('Antra diena'!$B$6:$B$90,B6,'Antra diena'!$E$6:$E$90)+SUMIF('Trečia diena'!$B$6:$B$90,B6,'Trečia diena'!$E$6:$E$90))</x:f>
      </x:c>
      <x:c r="J6" s="82" t="str">
        <x:f>IF(B6="","",IF(G6=3,"3 dienos",IF(G6=2,"2 dienos","Tik 1 diena")))</x:f>
      </x:c>
    </x:row>
    <x:row r="7">
      <x:c r="A7" s="95" t="str">
        <x:f>IF(B7="","",1+COUNTIFS($H$6:$H$90,"&gt;0",$H$6:$H$90,"&lt;"&amp;H7)+COUNTIFS($H$6:$H$90,H7,$I$6:$I$90,"&gt;"&amp;I7))</x:f>
      </x:c>
      <x:c r="B7" s="83" t="str">
        <x:f>IF('Pirma diena'!B7="","",'Pirma diena'!B7)</x:f>
      </x:c>
      <x:c r="C7" s="83" t="str">
        <x:f>IF(B7="","",'Pirma diena'!C7)</x:f>
      </x:c>
      <x:c r="D7" s="98" t="str">
        <x:f>IF(B7="","",IF(COUNTIF('Pirma diena'!$B$6:$B$90,B7)=0,"",SUMIF('Pirma diena'!$B$6:$B$90,B7,'Pirma diena'!$G$6:$G$90)))</x:f>
      </x:c>
      <x:c r="E7" s="98" t="str">
        <x:f>IF(B7="","",IF(COUNTIF('Antra diena'!$B$6:$B$90,B7)=0,"",SUMIF('Antra diena'!$B$6:$B$90,B7,'Antra diena'!$G$6:$G$90)))</x:f>
      </x:c>
      <x:c r="F7" s="98" t="str">
        <x:f>IF(B7="","",IF(COUNTIF('Trečia diena'!$B$6:$B$90,B7)=0,"",SUMIF('Trečia diena'!$B$6:$B$90,B7,'Trečia diena'!$G$6:$G$90)))</x:f>
      </x:c>
      <x:c r="G7" s="98" t="str">
        <x:f>IF(B7="","",COUNT(D7:F7))</x:f>
      </x:c>
      <x:c r="H7" s="98" t="str">
        <x:f>IF(B7="","",SUM(D7:F7))</x:f>
      </x:c>
      <x:c r="I7" s="101" t="str">
        <x:f>IF(B7="","",SUMIF('Pirma diena'!$B$6:$B$90,B7,'Pirma diena'!$E$6:$E$90)+SUMIF('Antra diena'!$B$6:$B$90,B7,'Antra diena'!$E$6:$E$90)+SUMIF('Trečia diena'!$B$6:$B$90,B7,'Trečia diena'!$E$6:$E$90))</x:f>
      </x:c>
      <x:c r="J7" s="83" t="str">
        <x:f>IF(B7="","",IF(G7=3,"3 dienos",IF(G7=2,"2 dienos","Tik 1 diena")))</x:f>
      </x:c>
    </x:row>
    <x:row r="8">
      <x:c r="A8" s="95" t="str">
        <x:f>IF(B8="","",1+COUNTIFS($H$6:$H$90,"&gt;0",$H$6:$H$90,"&lt;"&amp;H8)+COUNTIFS($H$6:$H$90,H8,$I$6:$I$90,"&gt;"&amp;I8))</x:f>
      </x:c>
      <x:c r="B8" s="83" t="str">
        <x:f>IF('Pirma diena'!B8="","",'Pirma diena'!B8)</x:f>
      </x:c>
      <x:c r="C8" s="83" t="str">
        <x:f>IF(B8="","",'Pirma diena'!C8)</x:f>
      </x:c>
      <x:c r="D8" s="98" t="str">
        <x:f>IF(B8="","",IF(COUNTIF('Pirma diena'!$B$6:$B$90,B8)=0,"",SUMIF('Pirma diena'!$B$6:$B$90,B8,'Pirma diena'!$G$6:$G$90)))</x:f>
      </x:c>
      <x:c r="E8" s="98" t="str">
        <x:f>IF(B8="","",IF(COUNTIF('Antra diena'!$B$6:$B$90,B8)=0,"",SUMIF('Antra diena'!$B$6:$B$90,B8,'Antra diena'!$G$6:$G$90)))</x:f>
      </x:c>
      <x:c r="F8" s="98" t="str">
        <x:f>IF(B8="","",IF(COUNTIF('Trečia diena'!$B$6:$B$90,B8)=0,"",SUMIF('Trečia diena'!$B$6:$B$90,B8,'Trečia diena'!$G$6:$G$90)))</x:f>
      </x:c>
      <x:c r="G8" s="98" t="str">
        <x:f>IF(B8="","",COUNT(D8:F8))</x:f>
      </x:c>
      <x:c r="H8" s="98" t="str">
        <x:f>IF(B8="","",SUM(D8:F8))</x:f>
      </x:c>
      <x:c r="I8" s="101" t="str">
        <x:f>IF(B8="","",SUMIF('Pirma diena'!$B$6:$B$90,B8,'Pirma diena'!$E$6:$E$90)+SUMIF('Antra diena'!$B$6:$B$90,B8,'Antra diena'!$E$6:$E$90)+SUMIF('Trečia diena'!$B$6:$B$90,B8,'Trečia diena'!$E$6:$E$90))</x:f>
      </x:c>
      <x:c r="J8" s="83" t="str">
        <x:f>IF(B8="","",IF(G8=3,"3 dienos",IF(G8=2,"2 dienos","Tik 1 diena")))</x:f>
      </x:c>
    </x:row>
    <x:row r="9">
      <x:c r="A9" s="95" t="str">
        <x:f>IF(B9="","",1+COUNTIFS($H$6:$H$90,"&gt;0",$H$6:$H$90,"&lt;"&amp;H9)+COUNTIFS($H$6:$H$90,H9,$I$6:$I$90,"&gt;"&amp;I9))</x:f>
      </x:c>
      <x:c r="B9" s="83" t="str">
        <x:f>IF('Pirma diena'!B9="","",'Pirma diena'!B9)</x:f>
      </x:c>
      <x:c r="C9" s="83" t="str">
        <x:f>IF(B9="","",'Pirma diena'!C9)</x:f>
      </x:c>
      <x:c r="D9" s="98" t="str">
        <x:f>IF(B9="","",IF(COUNTIF('Pirma diena'!$B$6:$B$90,B9)=0,"",SUMIF('Pirma diena'!$B$6:$B$90,B9,'Pirma diena'!$G$6:$G$90)))</x:f>
      </x:c>
      <x:c r="E9" s="98" t="str">
        <x:f>IF(B9="","",IF(COUNTIF('Antra diena'!$B$6:$B$90,B9)=0,"",SUMIF('Antra diena'!$B$6:$B$90,B9,'Antra diena'!$G$6:$G$90)))</x:f>
      </x:c>
      <x:c r="F9" s="98" t="str">
        <x:f>IF(B9="","",IF(COUNTIF('Trečia diena'!$B$6:$B$90,B9)=0,"",SUMIF('Trečia diena'!$B$6:$B$90,B9,'Trečia diena'!$G$6:$G$90)))</x:f>
      </x:c>
      <x:c r="G9" s="98" t="str">
        <x:f>IF(B9="","",COUNT(D9:F9))</x:f>
      </x:c>
      <x:c r="H9" s="98" t="str">
        <x:f>IF(B9="","",SUM(D9:F9))</x:f>
      </x:c>
      <x:c r="I9" s="101" t="str">
        <x:f>IF(B9="","",SUMIF('Pirma diena'!$B$6:$B$90,B9,'Pirma diena'!$E$6:$E$90)+SUMIF('Antra diena'!$B$6:$B$90,B9,'Antra diena'!$E$6:$E$90)+SUMIF('Trečia diena'!$B$6:$B$90,B9,'Trečia diena'!$E$6:$E$90))</x:f>
      </x:c>
      <x:c r="J9" s="83" t="str">
        <x:f>IF(B9="","",IF(G9=3,"3 dienos",IF(G9=2,"2 dienos","Tik 1 diena")))</x:f>
      </x:c>
    </x:row>
    <x:row r="10">
      <x:c r="A10" s="95" t="str">
        <x:f>IF(B10="","",1+COUNTIFS($H$6:$H$90,"&gt;0",$H$6:$H$90,"&lt;"&amp;H10)+COUNTIFS($H$6:$H$90,H10,$I$6:$I$90,"&gt;"&amp;I10))</x:f>
      </x:c>
      <x:c r="B10" s="83" t="str">
        <x:f>IF('Pirma diena'!B10="","",'Pirma diena'!B10)</x:f>
      </x:c>
      <x:c r="C10" s="83" t="str">
        <x:f>IF(B10="","",'Pirma diena'!C10)</x:f>
      </x:c>
      <x:c r="D10" s="98" t="str">
        <x:f>IF(B10="","",IF(COUNTIF('Pirma diena'!$B$6:$B$90,B10)=0,"",SUMIF('Pirma diena'!$B$6:$B$90,B10,'Pirma diena'!$G$6:$G$90)))</x:f>
      </x:c>
      <x:c r="E10" s="98" t="str">
        <x:f>IF(B10="","",IF(COUNTIF('Antra diena'!$B$6:$B$90,B10)=0,"",SUMIF('Antra diena'!$B$6:$B$90,B10,'Antra diena'!$G$6:$G$90)))</x:f>
      </x:c>
      <x:c r="F10" s="98" t="str">
        <x:f>IF(B10="","",IF(COUNTIF('Trečia diena'!$B$6:$B$90,B10)=0,"",SUMIF('Trečia diena'!$B$6:$B$90,B10,'Trečia diena'!$G$6:$G$90)))</x:f>
      </x:c>
      <x:c r="G10" s="98" t="str">
        <x:f>IF(B10="","",COUNT(D10:F10))</x:f>
      </x:c>
      <x:c r="H10" s="98" t="str">
        <x:f>IF(B10="","",SUM(D10:F10))</x:f>
      </x:c>
      <x:c r="I10" s="101" t="str">
        <x:f>IF(B10="","",SUMIF('Pirma diena'!$B$6:$B$90,B10,'Pirma diena'!$E$6:$E$90)+SUMIF('Antra diena'!$B$6:$B$90,B10,'Antra diena'!$E$6:$E$90)+SUMIF('Trečia diena'!$B$6:$B$90,B10,'Trečia diena'!$E$6:$E$90))</x:f>
      </x:c>
      <x:c r="J10" s="83" t="str">
        <x:f>IF(B10="","",IF(G10=3,"3 dienos",IF(G10=2,"2 dienos","Tik 1 diena")))</x:f>
      </x:c>
    </x:row>
    <x:row r="11">
      <x:c r="A11" s="95" t="str">
        <x:f>IF(B11="","",1+COUNTIFS($H$6:$H$90,"&gt;0",$H$6:$H$90,"&lt;"&amp;H11)+COUNTIFS($H$6:$H$90,H11,$I$6:$I$90,"&gt;"&amp;I11))</x:f>
      </x:c>
      <x:c r="B11" s="83" t="str">
        <x:f>IF('Pirma diena'!B11="","",'Pirma diena'!B11)</x:f>
      </x:c>
      <x:c r="C11" s="83" t="str">
        <x:f>IF(B11="","",'Pirma diena'!C11)</x:f>
      </x:c>
      <x:c r="D11" s="98" t="str">
        <x:f>IF(B11="","",IF(COUNTIF('Pirma diena'!$B$6:$B$90,B11)=0,"",SUMIF('Pirma diena'!$B$6:$B$90,B11,'Pirma diena'!$G$6:$G$90)))</x:f>
      </x:c>
      <x:c r="E11" s="98" t="str">
        <x:f>IF(B11="","",IF(COUNTIF('Antra diena'!$B$6:$B$90,B11)=0,"",SUMIF('Antra diena'!$B$6:$B$90,B11,'Antra diena'!$G$6:$G$90)))</x:f>
      </x:c>
      <x:c r="F11" s="98" t="str">
        <x:f>IF(B11="","",IF(COUNTIF('Trečia diena'!$B$6:$B$90,B11)=0,"",SUMIF('Trečia diena'!$B$6:$B$90,B11,'Trečia diena'!$G$6:$G$90)))</x:f>
      </x:c>
      <x:c r="G11" s="98" t="str">
        <x:f>IF(B11="","",COUNT(D11:F11))</x:f>
      </x:c>
      <x:c r="H11" s="98" t="str">
        <x:f>IF(B11="","",SUM(D11:F11))</x:f>
      </x:c>
      <x:c r="I11" s="101" t="str">
        <x:f>IF(B11="","",SUMIF('Pirma diena'!$B$6:$B$90,B11,'Pirma diena'!$E$6:$E$90)+SUMIF('Antra diena'!$B$6:$B$90,B11,'Antra diena'!$E$6:$E$90)+SUMIF('Trečia diena'!$B$6:$B$90,B11,'Trečia diena'!$E$6:$E$90))</x:f>
      </x:c>
      <x:c r="J11" s="83" t="str">
        <x:f>IF(B11="","",IF(G11=3,"3 dienos",IF(G11=2,"2 dienos","Tik 1 diena")))</x:f>
      </x:c>
    </x:row>
    <x:row r="12">
      <x:c r="A12" s="95" t="str">
        <x:f>IF(B12="","",1+COUNTIFS($H$6:$H$90,"&gt;0",$H$6:$H$90,"&lt;"&amp;H12)+COUNTIFS($H$6:$H$90,H12,$I$6:$I$90,"&gt;"&amp;I12))</x:f>
      </x:c>
      <x:c r="B12" s="83" t="str">
        <x:f>IF('Pirma diena'!B12="","",'Pirma diena'!B12)</x:f>
      </x:c>
      <x:c r="C12" s="83" t="str">
        <x:f>IF(B12="","",'Pirma diena'!C12)</x:f>
      </x:c>
      <x:c r="D12" s="98" t="str">
        <x:f>IF(B12="","",IF(COUNTIF('Pirma diena'!$B$6:$B$90,B12)=0,"",SUMIF('Pirma diena'!$B$6:$B$90,B12,'Pirma diena'!$G$6:$G$90)))</x:f>
      </x:c>
      <x:c r="E12" s="98" t="str">
        <x:f>IF(B12="","",IF(COUNTIF('Antra diena'!$B$6:$B$90,B12)=0,"",SUMIF('Antra diena'!$B$6:$B$90,B12,'Antra diena'!$G$6:$G$90)))</x:f>
      </x:c>
      <x:c r="F12" s="98" t="str">
        <x:f>IF(B12="","",IF(COUNTIF('Trečia diena'!$B$6:$B$90,B12)=0,"",SUMIF('Trečia diena'!$B$6:$B$90,B12,'Trečia diena'!$G$6:$G$90)))</x:f>
      </x:c>
      <x:c r="G12" s="98" t="str">
        <x:f>IF(B12="","",COUNT(D12:F12))</x:f>
      </x:c>
      <x:c r="H12" s="98" t="str">
        <x:f>IF(B12="","",SUM(D12:F12))</x:f>
      </x:c>
      <x:c r="I12" s="101" t="str">
        <x:f>IF(B12="","",SUMIF('Pirma diena'!$B$6:$B$90,B12,'Pirma diena'!$E$6:$E$90)+SUMIF('Antra diena'!$B$6:$B$90,B12,'Antra diena'!$E$6:$E$90)+SUMIF('Trečia diena'!$B$6:$B$90,B12,'Trečia diena'!$E$6:$E$90))</x:f>
      </x:c>
      <x:c r="J12" s="83" t="str">
        <x:f>IF(B12="","",IF(G12=3,"3 dienos",IF(G12=2,"2 dienos","Tik 1 diena")))</x:f>
      </x:c>
    </x:row>
    <x:row r="13">
      <x:c r="A13" s="95" t="str">
        <x:f>IF(B13="","",1+COUNTIFS($H$6:$H$90,"&gt;0",$H$6:$H$90,"&lt;"&amp;H13)+COUNTIFS($H$6:$H$90,H13,$I$6:$I$90,"&gt;"&amp;I13))</x:f>
      </x:c>
      <x:c r="B13" s="83" t="str">
        <x:f>IF('Pirma diena'!B13="","",'Pirma diena'!B13)</x:f>
      </x:c>
      <x:c r="C13" s="83" t="str">
        <x:f>IF(B13="","",'Pirma diena'!C13)</x:f>
      </x:c>
      <x:c r="D13" s="98" t="str">
        <x:f>IF(B13="","",IF(COUNTIF('Pirma diena'!$B$6:$B$90,B13)=0,"",SUMIF('Pirma diena'!$B$6:$B$90,B13,'Pirma diena'!$G$6:$G$90)))</x:f>
      </x:c>
      <x:c r="E13" s="98" t="str">
        <x:f>IF(B13="","",IF(COUNTIF('Antra diena'!$B$6:$B$90,B13)=0,"",SUMIF('Antra diena'!$B$6:$B$90,B13,'Antra diena'!$G$6:$G$90)))</x:f>
      </x:c>
      <x:c r="F13" s="98" t="str">
        <x:f>IF(B13="","",IF(COUNTIF('Trečia diena'!$B$6:$B$90,B13)=0,"",SUMIF('Trečia diena'!$B$6:$B$90,B13,'Trečia diena'!$G$6:$G$90)))</x:f>
      </x:c>
      <x:c r="G13" s="98" t="str">
        <x:f>IF(B13="","",COUNT(D13:F13))</x:f>
      </x:c>
      <x:c r="H13" s="98" t="str">
        <x:f>IF(B13="","",SUM(D13:F13))</x:f>
      </x:c>
      <x:c r="I13" s="101" t="str">
        <x:f>IF(B13="","",SUMIF('Pirma diena'!$B$6:$B$90,B13,'Pirma diena'!$E$6:$E$90)+SUMIF('Antra diena'!$B$6:$B$90,B13,'Antra diena'!$E$6:$E$90)+SUMIF('Trečia diena'!$B$6:$B$90,B13,'Trečia diena'!$E$6:$E$90))</x:f>
      </x:c>
      <x:c r="J13" s="83" t="str">
        <x:f>IF(B13="","",IF(G13=3,"3 dienos",IF(G13=2,"2 dienos","Tik 1 diena")))</x:f>
      </x:c>
    </x:row>
    <x:row r="14">
      <x:c r="A14" s="95" t="str">
        <x:f>IF(B14="","",1+COUNTIFS($H$6:$H$90,"&gt;0",$H$6:$H$90,"&lt;"&amp;H14)+COUNTIFS($H$6:$H$90,H14,$I$6:$I$90,"&gt;"&amp;I14))</x:f>
      </x:c>
      <x:c r="B14" s="83" t="str">
        <x:f>IF('Pirma diena'!B14="","",'Pirma diena'!B14)</x:f>
      </x:c>
      <x:c r="C14" s="83" t="str">
        <x:f>IF(B14="","",'Pirma diena'!C14)</x:f>
      </x:c>
      <x:c r="D14" s="98" t="str">
        <x:f>IF(B14="","",IF(COUNTIF('Pirma diena'!$B$6:$B$90,B14)=0,"",SUMIF('Pirma diena'!$B$6:$B$90,B14,'Pirma diena'!$G$6:$G$90)))</x:f>
      </x:c>
      <x:c r="E14" s="98" t="str">
        <x:f>IF(B14="","",IF(COUNTIF('Antra diena'!$B$6:$B$90,B14)=0,"",SUMIF('Antra diena'!$B$6:$B$90,B14,'Antra diena'!$G$6:$G$90)))</x:f>
      </x:c>
      <x:c r="F14" s="98" t="str">
        <x:f>IF(B14="","",IF(COUNTIF('Trečia diena'!$B$6:$B$90,B14)=0,"",SUMIF('Trečia diena'!$B$6:$B$90,B14,'Trečia diena'!$G$6:$G$90)))</x:f>
      </x:c>
      <x:c r="G14" s="98" t="str">
        <x:f>IF(B14="","",COUNT(D14:F14))</x:f>
      </x:c>
      <x:c r="H14" s="98" t="str">
        <x:f>IF(B14="","",SUM(D14:F14))</x:f>
      </x:c>
      <x:c r="I14" s="101" t="str">
        <x:f>IF(B14="","",SUMIF('Pirma diena'!$B$6:$B$90,B14,'Pirma diena'!$E$6:$E$90)+SUMIF('Antra diena'!$B$6:$B$90,B14,'Antra diena'!$E$6:$E$90)+SUMIF('Trečia diena'!$B$6:$B$90,B14,'Trečia diena'!$E$6:$E$90))</x:f>
      </x:c>
      <x:c r="J14" s="83" t="str">
        <x:f>IF(B14="","",IF(G14=3,"3 dienos",IF(G14=2,"2 dienos","Tik 1 diena")))</x:f>
      </x:c>
    </x:row>
    <x:row r="15">
      <x:c r="A15" s="95" t="str">
        <x:f>IF(B15="","",1+COUNTIFS($H$6:$H$90,"&gt;0",$H$6:$H$90,"&lt;"&amp;H15)+COUNTIFS($H$6:$H$90,H15,$I$6:$I$90,"&gt;"&amp;I15))</x:f>
      </x:c>
      <x:c r="B15" s="83" t="str">
        <x:f>IF('Pirma diena'!B15="","",'Pirma diena'!B15)</x:f>
      </x:c>
      <x:c r="C15" s="83" t="str">
        <x:f>IF(B15="","",'Pirma diena'!C15)</x:f>
      </x:c>
      <x:c r="D15" s="98" t="str">
        <x:f>IF(B15="","",IF(COUNTIF('Pirma diena'!$B$6:$B$90,B15)=0,"",SUMIF('Pirma diena'!$B$6:$B$90,B15,'Pirma diena'!$G$6:$G$90)))</x:f>
      </x:c>
      <x:c r="E15" s="98" t="str">
        <x:f>IF(B15="","",IF(COUNTIF('Antra diena'!$B$6:$B$90,B15)=0,"",SUMIF('Antra diena'!$B$6:$B$90,B15,'Antra diena'!$G$6:$G$90)))</x:f>
      </x:c>
      <x:c r="F15" s="98" t="str">
        <x:f>IF(B15="","",IF(COUNTIF('Trečia diena'!$B$6:$B$90,B15)=0,"",SUMIF('Trečia diena'!$B$6:$B$90,B15,'Trečia diena'!$G$6:$G$90)))</x:f>
      </x:c>
      <x:c r="G15" s="98" t="str">
        <x:f>IF(B15="","",COUNT(D15:F15))</x:f>
      </x:c>
      <x:c r="H15" s="98" t="str">
        <x:f>IF(B15="","",SUM(D15:F15))</x:f>
      </x:c>
      <x:c r="I15" s="101" t="str">
        <x:f>IF(B15="","",SUMIF('Pirma diena'!$B$6:$B$90,B15,'Pirma diena'!$E$6:$E$90)+SUMIF('Antra diena'!$B$6:$B$90,B15,'Antra diena'!$E$6:$E$90)+SUMIF('Trečia diena'!$B$6:$B$90,B15,'Trečia diena'!$E$6:$E$90))</x:f>
      </x:c>
      <x:c r="J15" s="83" t="str">
        <x:f>IF(B15="","",IF(G15=3,"3 dienos",IF(G15=2,"2 dienos","Tik 1 diena")))</x:f>
      </x:c>
    </x:row>
    <x:row r="16">
      <x:c r="A16" s="95" t="str">
        <x:f>IF(B16="","",1+COUNTIFS($H$6:$H$90,"&gt;0",$H$6:$H$90,"&lt;"&amp;H16)+COUNTIFS($H$6:$H$90,H16,$I$6:$I$90,"&gt;"&amp;I16))</x:f>
      </x:c>
      <x:c r="B16" s="83" t="str">
        <x:f>IF('Pirma diena'!B16="","",'Pirma diena'!B16)</x:f>
      </x:c>
      <x:c r="C16" s="83" t="str">
        <x:f>IF(B16="","",'Pirma diena'!C16)</x:f>
      </x:c>
      <x:c r="D16" s="98" t="str">
        <x:f>IF(B16="","",IF(COUNTIF('Pirma diena'!$B$6:$B$90,B16)=0,"",SUMIF('Pirma diena'!$B$6:$B$90,B16,'Pirma diena'!$G$6:$G$90)))</x:f>
      </x:c>
      <x:c r="E16" s="98" t="str">
        <x:f>IF(B16="","",IF(COUNTIF('Antra diena'!$B$6:$B$90,B16)=0,"",SUMIF('Antra diena'!$B$6:$B$90,B16,'Antra diena'!$G$6:$G$90)))</x:f>
      </x:c>
      <x:c r="F16" s="98" t="str">
        <x:f>IF(B16="","",IF(COUNTIF('Trečia diena'!$B$6:$B$90,B16)=0,"",SUMIF('Trečia diena'!$B$6:$B$90,B16,'Trečia diena'!$G$6:$G$90)))</x:f>
      </x:c>
      <x:c r="G16" s="98" t="str">
        <x:f>IF(B16="","",COUNT(D16:F16))</x:f>
      </x:c>
      <x:c r="H16" s="98" t="str">
        <x:f>IF(B16="","",SUM(D16:F16))</x:f>
      </x:c>
      <x:c r="I16" s="101" t="str">
        <x:f>IF(B16="","",SUMIF('Pirma diena'!$B$6:$B$90,B16,'Pirma diena'!$E$6:$E$90)+SUMIF('Antra diena'!$B$6:$B$90,B16,'Antra diena'!$E$6:$E$90)+SUMIF('Trečia diena'!$B$6:$B$90,B16,'Trečia diena'!$E$6:$E$90))</x:f>
      </x:c>
      <x:c r="J16" s="83" t="str">
        <x:f>IF(B16="","",IF(G16=3,"3 dienos",IF(G16=2,"2 dienos","Tik 1 diena")))</x:f>
      </x:c>
    </x:row>
    <x:row r="17">
      <x:c r="A17" s="95" t="str">
        <x:f>IF(B17="","",1+COUNTIFS($H$6:$H$90,"&gt;0",$H$6:$H$90,"&lt;"&amp;H17)+COUNTIFS($H$6:$H$90,H17,$I$6:$I$90,"&gt;"&amp;I17))</x:f>
      </x:c>
      <x:c r="B17" s="83" t="str">
        <x:f>IF('Pirma diena'!B17="","",'Pirma diena'!B17)</x:f>
      </x:c>
      <x:c r="C17" s="83" t="str">
        <x:f>IF(B17="","",'Pirma diena'!C17)</x:f>
      </x:c>
      <x:c r="D17" s="98" t="str">
        <x:f>IF(B17="","",IF(COUNTIF('Pirma diena'!$B$6:$B$90,B17)=0,"",SUMIF('Pirma diena'!$B$6:$B$90,B17,'Pirma diena'!$G$6:$G$90)))</x:f>
      </x:c>
      <x:c r="E17" s="98" t="str">
        <x:f>IF(B17="","",IF(COUNTIF('Antra diena'!$B$6:$B$90,B17)=0,"",SUMIF('Antra diena'!$B$6:$B$90,B17,'Antra diena'!$G$6:$G$90)))</x:f>
      </x:c>
      <x:c r="F17" s="98" t="str">
        <x:f>IF(B17="","",IF(COUNTIF('Trečia diena'!$B$6:$B$90,B17)=0,"",SUMIF('Trečia diena'!$B$6:$B$90,B17,'Trečia diena'!$G$6:$G$90)))</x:f>
      </x:c>
      <x:c r="G17" s="98" t="str">
        <x:f>IF(B17="","",COUNT(D17:F17))</x:f>
      </x:c>
      <x:c r="H17" s="98" t="str">
        <x:f>IF(B17="","",SUM(D17:F17))</x:f>
      </x:c>
      <x:c r="I17" s="101" t="str">
        <x:f>IF(B17="","",SUMIF('Pirma diena'!$B$6:$B$90,B17,'Pirma diena'!$E$6:$E$90)+SUMIF('Antra diena'!$B$6:$B$90,B17,'Antra diena'!$E$6:$E$90)+SUMIF('Trečia diena'!$B$6:$B$90,B17,'Trečia diena'!$E$6:$E$90))</x:f>
      </x:c>
      <x:c r="J17" s="83" t="str">
        <x:f>IF(B17="","",IF(G17=3,"3 dienos",IF(G17=2,"2 dienos","Tik 1 diena")))</x:f>
      </x:c>
    </x:row>
    <x:row r="18">
      <x:c r="A18" s="95" t="str">
        <x:f>IF(B18="","",1+COUNTIFS($H$6:$H$90,"&gt;0",$H$6:$H$90,"&lt;"&amp;H18)+COUNTIFS($H$6:$H$90,H18,$I$6:$I$90,"&gt;"&amp;I18))</x:f>
      </x:c>
      <x:c r="B18" s="83" t="str">
        <x:f>IF('Pirma diena'!B18="","",'Pirma diena'!B18)</x:f>
      </x:c>
      <x:c r="C18" s="83" t="str">
        <x:f>IF(B18="","",'Pirma diena'!C18)</x:f>
      </x:c>
      <x:c r="D18" s="98" t="str">
        <x:f>IF(B18="","",IF(COUNTIF('Pirma diena'!$B$6:$B$90,B18)=0,"",SUMIF('Pirma diena'!$B$6:$B$90,B18,'Pirma diena'!$G$6:$G$90)))</x:f>
      </x:c>
      <x:c r="E18" s="98" t="str">
        <x:f>IF(B18="","",IF(COUNTIF('Antra diena'!$B$6:$B$90,B18)=0,"",SUMIF('Antra diena'!$B$6:$B$90,B18,'Antra diena'!$G$6:$G$90)))</x:f>
      </x:c>
      <x:c r="F18" s="98" t="str">
        <x:f>IF(B18="","",IF(COUNTIF('Trečia diena'!$B$6:$B$90,B18)=0,"",SUMIF('Trečia diena'!$B$6:$B$90,B18,'Trečia diena'!$G$6:$G$90)))</x:f>
      </x:c>
      <x:c r="G18" s="98" t="str">
        <x:f>IF(B18="","",COUNT(D18:F18))</x:f>
      </x:c>
      <x:c r="H18" s="98" t="str">
        <x:f>IF(B18="","",SUM(D18:F18))</x:f>
      </x:c>
      <x:c r="I18" s="101" t="str">
        <x:f>IF(B18="","",SUMIF('Pirma diena'!$B$6:$B$90,B18,'Pirma diena'!$E$6:$E$90)+SUMIF('Antra diena'!$B$6:$B$90,B18,'Antra diena'!$E$6:$E$90)+SUMIF('Trečia diena'!$B$6:$B$90,B18,'Trečia diena'!$E$6:$E$90))</x:f>
      </x:c>
      <x:c r="J18" s="83" t="str">
        <x:f>IF(B18="","",IF(G18=3,"3 dienos",IF(G18=2,"2 dienos","Tik 1 diena")))</x:f>
      </x:c>
    </x:row>
    <x:row r="19">
      <x:c r="A19" s="95" t="str">
        <x:f>IF(B19="","",1+COUNTIFS($H$6:$H$90,"&gt;0",$H$6:$H$90,"&lt;"&amp;H19)+COUNTIFS($H$6:$H$90,H19,$I$6:$I$90,"&gt;"&amp;I19))</x:f>
      </x:c>
      <x:c r="B19" s="83" t="str">
        <x:f>IF('Pirma diena'!B19="","",'Pirma diena'!B19)</x:f>
      </x:c>
      <x:c r="C19" s="83" t="str">
        <x:f>IF(B19="","",'Pirma diena'!C19)</x:f>
      </x:c>
      <x:c r="D19" s="98" t="str">
        <x:f>IF(B19="","",IF(COUNTIF('Pirma diena'!$B$6:$B$90,B19)=0,"",SUMIF('Pirma diena'!$B$6:$B$90,B19,'Pirma diena'!$G$6:$G$90)))</x:f>
      </x:c>
      <x:c r="E19" s="98" t="str">
        <x:f>IF(B19="","",IF(COUNTIF('Antra diena'!$B$6:$B$90,B19)=0,"",SUMIF('Antra diena'!$B$6:$B$90,B19,'Antra diena'!$G$6:$G$90)))</x:f>
      </x:c>
      <x:c r="F19" s="98" t="str">
        <x:f>IF(B19="","",IF(COUNTIF('Trečia diena'!$B$6:$B$90,B19)=0,"",SUMIF('Trečia diena'!$B$6:$B$90,B19,'Trečia diena'!$G$6:$G$90)))</x:f>
      </x:c>
      <x:c r="G19" s="98" t="str">
        <x:f>IF(B19="","",COUNT(D19:F19))</x:f>
      </x:c>
      <x:c r="H19" s="98" t="str">
        <x:f>IF(B19="","",SUM(D19:F19))</x:f>
      </x:c>
      <x:c r="I19" s="101" t="str">
        <x:f>IF(B19="","",SUMIF('Pirma diena'!$B$6:$B$90,B19,'Pirma diena'!$E$6:$E$90)+SUMIF('Antra diena'!$B$6:$B$90,B19,'Antra diena'!$E$6:$E$90)+SUMIF('Trečia diena'!$B$6:$B$90,B19,'Trečia diena'!$E$6:$E$90))</x:f>
      </x:c>
      <x:c r="J19" s="83" t="str">
        <x:f>IF(B19="","",IF(G19=3,"3 dienos",IF(G19=2,"2 dienos","Tik 1 diena")))</x:f>
      </x:c>
    </x:row>
    <x:row r="20">
      <x:c r="A20" s="95" t="str">
        <x:f>IF(B20="","",1+COUNTIFS($H$6:$H$90,"&gt;0",$H$6:$H$90,"&lt;"&amp;H20)+COUNTIFS($H$6:$H$90,H20,$I$6:$I$90,"&gt;"&amp;I20))</x:f>
      </x:c>
      <x:c r="B20" s="83" t="str">
        <x:f>IF('Pirma diena'!B20="","",'Pirma diena'!B20)</x:f>
      </x:c>
      <x:c r="C20" s="83" t="str">
        <x:f>IF(B20="","",'Pirma diena'!C20)</x:f>
      </x:c>
      <x:c r="D20" s="98" t="str">
        <x:f>IF(B20="","",IF(COUNTIF('Pirma diena'!$B$6:$B$90,B20)=0,"",SUMIF('Pirma diena'!$B$6:$B$90,B20,'Pirma diena'!$G$6:$G$90)))</x:f>
      </x:c>
      <x:c r="E20" s="98" t="str">
        <x:f>IF(B20="","",IF(COUNTIF('Antra diena'!$B$6:$B$90,B20)=0,"",SUMIF('Antra diena'!$B$6:$B$90,B20,'Antra diena'!$G$6:$G$90)))</x:f>
      </x:c>
      <x:c r="F20" s="98" t="str">
        <x:f>IF(B20="","",IF(COUNTIF('Trečia diena'!$B$6:$B$90,B20)=0,"",SUMIF('Trečia diena'!$B$6:$B$90,B20,'Trečia diena'!$G$6:$G$90)))</x:f>
      </x:c>
      <x:c r="G20" s="98" t="str">
        <x:f>IF(B20="","",COUNT(D20:F20))</x:f>
      </x:c>
      <x:c r="H20" s="98" t="str">
        <x:f>IF(B20="","",SUM(D20:F20))</x:f>
      </x:c>
      <x:c r="I20" s="101" t="str">
        <x:f>IF(B20="","",SUMIF('Pirma diena'!$B$6:$B$90,B20,'Pirma diena'!$E$6:$E$90)+SUMIF('Antra diena'!$B$6:$B$90,B20,'Antra diena'!$E$6:$E$90)+SUMIF('Trečia diena'!$B$6:$B$90,B20,'Trečia diena'!$E$6:$E$90))</x:f>
      </x:c>
      <x:c r="J20" s="83" t="str">
        <x:f>IF(B20="","",IF(G20=3,"3 dienos",IF(G20=2,"2 dienos","Tik 1 diena")))</x:f>
      </x:c>
    </x:row>
    <x:row r="21">
      <x:c r="A21" s="95" t="str">
        <x:f>IF(B21="","",1+COUNTIFS($H$6:$H$90,"&gt;0",$H$6:$H$90,"&lt;"&amp;H21)+COUNTIFS($H$6:$H$90,H21,$I$6:$I$90,"&gt;"&amp;I21))</x:f>
      </x:c>
      <x:c r="B21" s="83" t="str">
        <x:f>IF('Pirma diena'!B21="","",'Pirma diena'!B21)</x:f>
      </x:c>
      <x:c r="C21" s="83" t="str">
        <x:f>IF(B21="","",'Pirma diena'!C21)</x:f>
      </x:c>
      <x:c r="D21" s="98" t="str">
        <x:f>IF(B21="","",IF(COUNTIF('Pirma diena'!$B$6:$B$90,B21)=0,"",SUMIF('Pirma diena'!$B$6:$B$90,B21,'Pirma diena'!$G$6:$G$90)))</x:f>
      </x:c>
      <x:c r="E21" s="98" t="str">
        <x:f>IF(B21="","",IF(COUNTIF('Antra diena'!$B$6:$B$90,B21)=0,"",SUMIF('Antra diena'!$B$6:$B$90,B21,'Antra diena'!$G$6:$G$90)))</x:f>
      </x:c>
      <x:c r="F21" s="98" t="str">
        <x:f>IF(B21="","",IF(COUNTIF('Trečia diena'!$B$6:$B$90,B21)=0,"",SUMIF('Trečia diena'!$B$6:$B$90,B21,'Trečia diena'!$G$6:$G$90)))</x:f>
      </x:c>
      <x:c r="G21" s="98" t="str">
        <x:f>IF(B21="","",COUNT(D21:F21))</x:f>
      </x:c>
      <x:c r="H21" s="98" t="str">
        <x:f>IF(B21="","",SUM(D21:F21))</x:f>
      </x:c>
      <x:c r="I21" s="101" t="str">
        <x:f>IF(B21="","",SUMIF('Pirma diena'!$B$6:$B$90,B21,'Pirma diena'!$E$6:$E$90)+SUMIF('Antra diena'!$B$6:$B$90,B21,'Antra diena'!$E$6:$E$90)+SUMIF('Trečia diena'!$B$6:$B$90,B21,'Trečia diena'!$E$6:$E$90))</x:f>
      </x:c>
      <x:c r="J21" s="83" t="str">
        <x:f>IF(B21="","",IF(G21=3,"3 dienos",IF(G21=2,"2 dienos","Tik 1 diena")))</x:f>
      </x:c>
    </x:row>
    <x:row r="22">
      <x:c r="A22" s="95" t="str">
        <x:f>IF(B22="","",1+COUNTIFS($H$6:$H$90,"&gt;0",$H$6:$H$90,"&lt;"&amp;H22)+COUNTIFS($H$6:$H$90,H22,$I$6:$I$90,"&gt;"&amp;I22))</x:f>
      </x:c>
      <x:c r="B22" s="83" t="str">
        <x:f>IF('Pirma diena'!B22="","",'Pirma diena'!B22)</x:f>
      </x:c>
      <x:c r="C22" s="83" t="str">
        <x:f>IF(B22="","",'Pirma diena'!C22)</x:f>
      </x:c>
      <x:c r="D22" s="98" t="str">
        <x:f>IF(B22="","",IF(COUNTIF('Pirma diena'!$B$6:$B$90,B22)=0,"",SUMIF('Pirma diena'!$B$6:$B$90,B22,'Pirma diena'!$G$6:$G$90)))</x:f>
      </x:c>
      <x:c r="E22" s="98" t="str">
        <x:f>IF(B22="","",IF(COUNTIF('Antra diena'!$B$6:$B$90,B22)=0,"",SUMIF('Antra diena'!$B$6:$B$90,B22,'Antra diena'!$G$6:$G$90)))</x:f>
      </x:c>
      <x:c r="F22" s="98" t="str">
        <x:f>IF(B22="","",IF(COUNTIF('Trečia diena'!$B$6:$B$90,B22)=0,"",SUMIF('Trečia diena'!$B$6:$B$90,B22,'Trečia diena'!$G$6:$G$90)))</x:f>
      </x:c>
      <x:c r="G22" s="98" t="str">
        <x:f>IF(B22="","",COUNT(D22:F22))</x:f>
      </x:c>
      <x:c r="H22" s="98" t="str">
        <x:f>IF(B22="","",SUM(D22:F22))</x:f>
      </x:c>
      <x:c r="I22" s="101" t="str">
        <x:f>IF(B22="","",SUMIF('Pirma diena'!$B$6:$B$90,B22,'Pirma diena'!$E$6:$E$90)+SUMIF('Antra diena'!$B$6:$B$90,B22,'Antra diena'!$E$6:$E$90)+SUMIF('Trečia diena'!$B$6:$B$90,B22,'Trečia diena'!$E$6:$E$90))</x:f>
      </x:c>
      <x:c r="J22" s="83" t="str">
        <x:f>IF(B22="","",IF(G22=3,"3 dienos",IF(G22=2,"2 dienos","Tik 1 diena")))</x:f>
      </x:c>
    </x:row>
    <x:row r="23">
      <x:c r="A23" s="95" t="str">
        <x:f>IF(B23="","",1+COUNTIFS($H$6:$H$90,"&gt;0",$H$6:$H$90,"&lt;"&amp;H23)+COUNTIFS($H$6:$H$90,H23,$I$6:$I$90,"&gt;"&amp;I23))</x:f>
      </x:c>
      <x:c r="B23" s="83" t="str">
        <x:f>IF('Pirma diena'!B23="","",'Pirma diena'!B23)</x:f>
      </x:c>
      <x:c r="C23" s="83" t="str">
        <x:f>IF(B23="","",'Pirma diena'!C23)</x:f>
      </x:c>
      <x:c r="D23" s="98" t="str">
        <x:f>IF(B23="","",IF(COUNTIF('Pirma diena'!$B$6:$B$90,B23)=0,"",SUMIF('Pirma diena'!$B$6:$B$90,B23,'Pirma diena'!$G$6:$G$90)))</x:f>
      </x:c>
      <x:c r="E23" s="98" t="str">
        <x:f>IF(B23="","",IF(COUNTIF('Antra diena'!$B$6:$B$90,B23)=0,"",SUMIF('Antra diena'!$B$6:$B$90,B23,'Antra diena'!$G$6:$G$90)))</x:f>
      </x:c>
      <x:c r="F23" s="98" t="str">
        <x:f>IF(B23="","",IF(COUNTIF('Trečia diena'!$B$6:$B$90,B23)=0,"",SUMIF('Trečia diena'!$B$6:$B$90,B23,'Trečia diena'!$G$6:$G$90)))</x:f>
      </x:c>
      <x:c r="G23" s="98" t="str">
        <x:f>IF(B23="","",COUNT(D23:F23))</x:f>
      </x:c>
      <x:c r="H23" s="98" t="str">
        <x:f>IF(B23="","",SUM(D23:F23))</x:f>
      </x:c>
      <x:c r="I23" s="101" t="str">
        <x:f>IF(B23="","",SUMIF('Pirma diena'!$B$6:$B$90,B23,'Pirma diena'!$E$6:$E$90)+SUMIF('Antra diena'!$B$6:$B$90,B23,'Antra diena'!$E$6:$E$90)+SUMIF('Trečia diena'!$B$6:$B$90,B23,'Trečia diena'!$E$6:$E$90))</x:f>
      </x:c>
      <x:c r="J23" s="83" t="str">
        <x:f>IF(B23="","",IF(G23=3,"3 dienos",IF(G23=2,"2 dienos","Tik 1 diena")))</x:f>
      </x:c>
    </x:row>
    <x:row r="24">
      <x:c r="A24" s="95" t="str">
        <x:f>IF(B24="","",1+COUNTIFS($H$6:$H$90,"&gt;0",$H$6:$H$90,"&lt;"&amp;H24)+COUNTIFS($H$6:$H$90,H24,$I$6:$I$90,"&gt;"&amp;I24))</x:f>
      </x:c>
      <x:c r="B24" s="83" t="str">
        <x:f>IF('Pirma diena'!B24="","",'Pirma diena'!B24)</x:f>
      </x:c>
      <x:c r="C24" s="83" t="str">
        <x:f>IF(B24="","",'Pirma diena'!C24)</x:f>
      </x:c>
      <x:c r="D24" s="98" t="str">
        <x:f>IF(B24="","",IF(COUNTIF('Pirma diena'!$B$6:$B$90,B24)=0,"",SUMIF('Pirma diena'!$B$6:$B$90,B24,'Pirma diena'!$G$6:$G$90)))</x:f>
      </x:c>
      <x:c r="E24" s="98" t="str">
        <x:f>IF(B24="","",IF(COUNTIF('Antra diena'!$B$6:$B$90,B24)=0,"",SUMIF('Antra diena'!$B$6:$B$90,B24,'Antra diena'!$G$6:$G$90)))</x:f>
      </x:c>
      <x:c r="F24" s="98" t="str">
        <x:f>IF(B24="","",IF(COUNTIF('Trečia diena'!$B$6:$B$90,B24)=0,"",SUMIF('Trečia diena'!$B$6:$B$90,B24,'Trečia diena'!$G$6:$G$90)))</x:f>
      </x:c>
      <x:c r="G24" s="98" t="str">
        <x:f>IF(B24="","",COUNT(D24:F24))</x:f>
      </x:c>
      <x:c r="H24" s="98" t="str">
        <x:f>IF(B24="","",SUM(D24:F24))</x:f>
      </x:c>
      <x:c r="I24" s="101" t="str">
        <x:f>IF(B24="","",SUMIF('Pirma diena'!$B$6:$B$90,B24,'Pirma diena'!$E$6:$E$90)+SUMIF('Antra diena'!$B$6:$B$90,B24,'Antra diena'!$E$6:$E$90)+SUMIF('Trečia diena'!$B$6:$B$90,B24,'Trečia diena'!$E$6:$E$90))</x:f>
      </x:c>
      <x:c r="J24" s="83" t="str">
        <x:f>IF(B24="","",IF(G24=3,"3 dienos",IF(G24=2,"2 dienos","Tik 1 diena")))</x:f>
      </x:c>
    </x:row>
    <x:row r="25">
      <x:c r="A25" s="95" t="str">
        <x:f>IF(B25="","",1+COUNTIFS($H$6:$H$90,"&gt;0",$H$6:$H$90,"&lt;"&amp;H25)+COUNTIFS($H$6:$H$90,H25,$I$6:$I$90,"&gt;"&amp;I25))</x:f>
      </x:c>
      <x:c r="B25" s="83" t="str">
        <x:f>IF('Pirma diena'!B25="","",'Pirma diena'!B25)</x:f>
      </x:c>
      <x:c r="C25" s="83" t="str">
        <x:f>IF(B25="","",'Pirma diena'!C25)</x:f>
      </x:c>
      <x:c r="D25" s="98" t="str">
        <x:f>IF(B25="","",IF(COUNTIF('Pirma diena'!$B$6:$B$90,B25)=0,"",SUMIF('Pirma diena'!$B$6:$B$90,B25,'Pirma diena'!$G$6:$G$90)))</x:f>
      </x:c>
      <x:c r="E25" s="98" t="str">
        <x:f>IF(B25="","",IF(COUNTIF('Antra diena'!$B$6:$B$90,B25)=0,"",SUMIF('Antra diena'!$B$6:$B$90,B25,'Antra diena'!$G$6:$G$90)))</x:f>
      </x:c>
      <x:c r="F25" s="98" t="str">
        <x:f>IF(B25="","",IF(COUNTIF('Trečia diena'!$B$6:$B$90,B25)=0,"",SUMIF('Trečia diena'!$B$6:$B$90,B25,'Trečia diena'!$G$6:$G$90)))</x:f>
      </x:c>
      <x:c r="G25" s="98" t="str">
        <x:f>IF(B25="","",COUNT(D25:F25))</x:f>
      </x:c>
      <x:c r="H25" s="98" t="str">
        <x:f>IF(B25="","",SUM(D25:F25))</x:f>
      </x:c>
      <x:c r="I25" s="101" t="str">
        <x:f>IF(B25="","",SUMIF('Pirma diena'!$B$6:$B$90,B25,'Pirma diena'!$E$6:$E$90)+SUMIF('Antra diena'!$B$6:$B$90,B25,'Antra diena'!$E$6:$E$90)+SUMIF('Trečia diena'!$B$6:$B$90,B25,'Trečia diena'!$E$6:$E$90))</x:f>
      </x:c>
      <x:c r="J25" s="83" t="str">
        <x:f>IF(B25="","",IF(G25=3,"3 dienos",IF(G25=2,"2 dienos","Tik 1 diena")))</x:f>
      </x:c>
    </x:row>
    <x:row r="26">
      <x:c r="A26" s="95" t="str">
        <x:f>IF(B26="","",1+COUNTIFS($H$6:$H$90,"&gt;0",$H$6:$H$90,"&lt;"&amp;H26)+COUNTIFS($H$6:$H$90,H26,$I$6:$I$90,"&gt;"&amp;I26))</x:f>
      </x:c>
      <x:c r="B26" s="83" t="str">
        <x:f>IF('Pirma diena'!B26="","",'Pirma diena'!B26)</x:f>
      </x:c>
      <x:c r="C26" s="83" t="str">
        <x:f>IF(B26="","",'Pirma diena'!C26)</x:f>
      </x:c>
      <x:c r="D26" s="98" t="str">
        <x:f>IF(B26="","",IF(COUNTIF('Pirma diena'!$B$6:$B$90,B26)=0,"",SUMIF('Pirma diena'!$B$6:$B$90,B26,'Pirma diena'!$G$6:$G$90)))</x:f>
      </x:c>
      <x:c r="E26" s="98" t="str">
        <x:f>IF(B26="","",IF(COUNTIF('Antra diena'!$B$6:$B$90,B26)=0,"",SUMIF('Antra diena'!$B$6:$B$90,B26,'Antra diena'!$G$6:$G$90)))</x:f>
      </x:c>
      <x:c r="F26" s="98" t="str">
        <x:f>IF(B26="","",IF(COUNTIF('Trečia diena'!$B$6:$B$90,B26)=0,"",SUMIF('Trečia diena'!$B$6:$B$90,B26,'Trečia diena'!$G$6:$G$90)))</x:f>
      </x:c>
      <x:c r="G26" s="98" t="str">
        <x:f>IF(B26="","",COUNT(D26:F26))</x:f>
      </x:c>
      <x:c r="H26" s="98" t="str">
        <x:f>IF(B26="","",SUM(D26:F26))</x:f>
      </x:c>
      <x:c r="I26" s="101" t="str">
        <x:f>IF(B26="","",SUMIF('Pirma diena'!$B$6:$B$90,B26,'Pirma diena'!$E$6:$E$90)+SUMIF('Antra diena'!$B$6:$B$90,B26,'Antra diena'!$E$6:$E$90)+SUMIF('Trečia diena'!$B$6:$B$90,B26,'Trečia diena'!$E$6:$E$90))</x:f>
      </x:c>
      <x:c r="J26" s="83" t="str">
        <x:f>IF(B26="","",IF(G26=3,"3 dienos",IF(G26=2,"2 dienos","Tik 1 diena")))</x:f>
      </x:c>
    </x:row>
    <x:row r="27">
      <x:c r="A27" s="95" t="str">
        <x:f>IF(B27="","",1+COUNTIFS($H$6:$H$90,"&gt;0",$H$6:$H$90,"&lt;"&amp;H27)+COUNTIFS($H$6:$H$90,H27,$I$6:$I$90,"&gt;"&amp;I27))</x:f>
      </x:c>
      <x:c r="B27" s="83" t="str">
        <x:f>IF('Pirma diena'!B27="","",'Pirma diena'!B27)</x:f>
      </x:c>
      <x:c r="C27" s="83" t="str">
        <x:f>IF(B27="","",'Pirma diena'!C27)</x:f>
      </x:c>
      <x:c r="D27" s="98" t="str">
        <x:f>IF(B27="","",IF(COUNTIF('Pirma diena'!$B$6:$B$90,B27)=0,"",SUMIF('Pirma diena'!$B$6:$B$90,B27,'Pirma diena'!$G$6:$G$90)))</x:f>
      </x:c>
      <x:c r="E27" s="98" t="str">
        <x:f>IF(B27="","",IF(COUNTIF('Antra diena'!$B$6:$B$90,B27)=0,"",SUMIF('Antra diena'!$B$6:$B$90,B27,'Antra diena'!$G$6:$G$90)))</x:f>
      </x:c>
      <x:c r="F27" s="98" t="str">
        <x:f>IF(B27="","",IF(COUNTIF('Trečia diena'!$B$6:$B$90,B27)=0,"",SUMIF('Trečia diena'!$B$6:$B$90,B27,'Trečia diena'!$G$6:$G$90)))</x:f>
      </x:c>
      <x:c r="G27" s="98" t="str">
        <x:f>IF(B27="","",COUNT(D27:F27))</x:f>
      </x:c>
      <x:c r="H27" s="98" t="str">
        <x:f>IF(B27="","",SUM(D27:F27))</x:f>
      </x:c>
      <x:c r="I27" s="101" t="str">
        <x:f>IF(B27="","",SUMIF('Pirma diena'!$B$6:$B$90,B27,'Pirma diena'!$E$6:$E$90)+SUMIF('Antra diena'!$B$6:$B$90,B27,'Antra diena'!$E$6:$E$90)+SUMIF('Trečia diena'!$B$6:$B$90,B27,'Trečia diena'!$E$6:$E$90))</x:f>
      </x:c>
      <x:c r="J27" s="83" t="str">
        <x:f>IF(B27="","",IF(G27=3,"3 dienos",IF(G27=2,"2 dienos","Tik 1 diena")))</x:f>
      </x:c>
    </x:row>
    <x:row r="28">
      <x:c r="A28" s="95" t="str">
        <x:f>IF(B28="","",1+COUNTIFS($H$6:$H$90,"&gt;0",$H$6:$H$90,"&lt;"&amp;H28)+COUNTIFS($H$6:$H$90,H28,$I$6:$I$90,"&gt;"&amp;I28))</x:f>
      </x:c>
      <x:c r="B28" s="83" t="str">
        <x:f>IF('Pirma diena'!B28="","",'Pirma diena'!B28)</x:f>
      </x:c>
      <x:c r="C28" s="83" t="str">
        <x:f>IF(B28="","",'Pirma diena'!C28)</x:f>
      </x:c>
      <x:c r="D28" s="98" t="str">
        <x:f>IF(B28="","",IF(COUNTIF('Pirma diena'!$B$6:$B$90,B28)=0,"",SUMIF('Pirma diena'!$B$6:$B$90,B28,'Pirma diena'!$G$6:$G$90)))</x:f>
      </x:c>
      <x:c r="E28" s="98" t="str">
        <x:f>IF(B28="","",IF(COUNTIF('Antra diena'!$B$6:$B$90,B28)=0,"",SUMIF('Antra diena'!$B$6:$B$90,B28,'Antra diena'!$G$6:$G$90)))</x:f>
      </x:c>
      <x:c r="F28" s="98" t="str">
        <x:f>IF(B28="","",IF(COUNTIF('Trečia diena'!$B$6:$B$90,B28)=0,"",SUMIF('Trečia diena'!$B$6:$B$90,B28,'Trečia diena'!$G$6:$G$90)))</x:f>
      </x:c>
      <x:c r="G28" s="98" t="str">
        <x:f>IF(B28="","",COUNT(D28:F28))</x:f>
      </x:c>
      <x:c r="H28" s="98" t="str">
        <x:f>IF(B28="","",SUM(D28:F28))</x:f>
      </x:c>
      <x:c r="I28" s="101" t="str">
        <x:f>IF(B28="","",SUMIF('Pirma diena'!$B$6:$B$90,B28,'Pirma diena'!$E$6:$E$90)+SUMIF('Antra diena'!$B$6:$B$90,B28,'Antra diena'!$E$6:$E$90)+SUMIF('Trečia diena'!$B$6:$B$90,B28,'Trečia diena'!$E$6:$E$90))</x:f>
      </x:c>
      <x:c r="J28" s="83" t="str">
        <x:f>IF(B28="","",IF(G28=3,"3 dienos",IF(G28=2,"2 dienos","Tik 1 diena")))</x:f>
      </x:c>
    </x:row>
    <x:row r="29">
      <x:c r="A29" s="95" t="str">
        <x:f>IF(B29="","",1+COUNTIFS($H$6:$H$90,"&gt;0",$H$6:$H$90,"&lt;"&amp;H29)+COUNTIFS($H$6:$H$90,H29,$I$6:$I$90,"&gt;"&amp;I29))</x:f>
      </x:c>
      <x:c r="B29" s="83" t="str">
        <x:f>IF('Pirma diena'!B29="","",'Pirma diena'!B29)</x:f>
      </x:c>
      <x:c r="C29" s="83" t="str">
        <x:f>IF(B29="","",'Pirma diena'!C29)</x:f>
      </x:c>
      <x:c r="D29" s="98" t="str">
        <x:f>IF(B29="","",IF(COUNTIF('Pirma diena'!$B$6:$B$90,B29)=0,"",SUMIF('Pirma diena'!$B$6:$B$90,B29,'Pirma diena'!$G$6:$G$90)))</x:f>
      </x:c>
      <x:c r="E29" s="98" t="str">
        <x:f>IF(B29="","",IF(COUNTIF('Antra diena'!$B$6:$B$90,B29)=0,"",SUMIF('Antra diena'!$B$6:$B$90,B29,'Antra diena'!$G$6:$G$90)))</x:f>
      </x:c>
      <x:c r="F29" s="98" t="str">
        <x:f>IF(B29="","",IF(COUNTIF('Trečia diena'!$B$6:$B$90,B29)=0,"",SUMIF('Trečia diena'!$B$6:$B$90,B29,'Trečia diena'!$G$6:$G$90)))</x:f>
      </x:c>
      <x:c r="G29" s="98" t="str">
        <x:f>IF(B29="","",COUNT(D29:F29))</x:f>
      </x:c>
      <x:c r="H29" s="98" t="str">
        <x:f>IF(B29="","",SUM(D29:F29))</x:f>
      </x:c>
      <x:c r="I29" s="101" t="str">
        <x:f>IF(B29="","",SUMIF('Pirma diena'!$B$6:$B$90,B29,'Pirma diena'!$E$6:$E$90)+SUMIF('Antra diena'!$B$6:$B$90,B29,'Antra diena'!$E$6:$E$90)+SUMIF('Trečia diena'!$B$6:$B$90,B29,'Trečia diena'!$E$6:$E$90))</x:f>
      </x:c>
      <x:c r="J29" s="83" t="str">
        <x:f>IF(B29="","",IF(G29=3,"3 dienos",IF(G29=2,"2 dienos","Tik 1 diena")))</x:f>
      </x:c>
    </x:row>
    <x:row r="30">
      <x:c r="A30" s="95" t="str">
        <x:f>IF(B30="","",1+COUNTIFS($H$6:$H$90,"&gt;0",$H$6:$H$90,"&lt;"&amp;H30)+COUNTIFS($H$6:$H$90,H30,$I$6:$I$90,"&gt;"&amp;I30))</x:f>
      </x:c>
      <x:c r="B30" s="83" t="str">
        <x:f>IF('Pirma diena'!B30="","",'Pirma diena'!B30)</x:f>
      </x:c>
      <x:c r="C30" s="83" t="str">
        <x:f>IF(B30="","",'Pirma diena'!C30)</x:f>
      </x:c>
      <x:c r="D30" s="98" t="str">
        <x:f>IF(B30="","",IF(COUNTIF('Pirma diena'!$B$6:$B$90,B30)=0,"",SUMIF('Pirma diena'!$B$6:$B$90,B30,'Pirma diena'!$G$6:$G$90)))</x:f>
      </x:c>
      <x:c r="E30" s="98" t="str">
        <x:f>IF(B30="","",IF(COUNTIF('Antra diena'!$B$6:$B$90,B30)=0,"",SUMIF('Antra diena'!$B$6:$B$90,B30,'Antra diena'!$G$6:$G$90)))</x:f>
      </x:c>
      <x:c r="F30" s="98" t="str">
        <x:f>IF(B30="","",IF(COUNTIF('Trečia diena'!$B$6:$B$90,B30)=0,"",SUMIF('Trečia diena'!$B$6:$B$90,B30,'Trečia diena'!$G$6:$G$90)))</x:f>
      </x:c>
      <x:c r="G30" s="98" t="str">
        <x:f>IF(B30="","",COUNT(D30:F30))</x:f>
      </x:c>
      <x:c r="H30" s="98" t="str">
        <x:f>IF(B30="","",SUM(D30:F30))</x:f>
      </x:c>
      <x:c r="I30" s="101" t="str">
        <x:f>IF(B30="","",SUMIF('Pirma diena'!$B$6:$B$90,B30,'Pirma diena'!$E$6:$E$90)+SUMIF('Antra diena'!$B$6:$B$90,B30,'Antra diena'!$E$6:$E$90)+SUMIF('Trečia diena'!$B$6:$B$90,B30,'Trečia diena'!$E$6:$E$90))</x:f>
      </x:c>
      <x:c r="J30" s="83" t="str">
        <x:f>IF(B30="","",IF(G30=3,"3 dienos",IF(G30=2,"2 dienos","Tik 1 diena")))</x:f>
      </x:c>
    </x:row>
    <x:row r="31">
      <x:c r="A31" s="95" t="str">
        <x:f>IF(B31="","",1+COUNTIFS($H$6:$H$90,"&gt;0",$H$6:$H$90,"&lt;"&amp;H31)+COUNTIFS($H$6:$H$90,H31,$I$6:$I$90,"&gt;"&amp;I31))</x:f>
      </x:c>
      <x:c r="B31" s="83" t="str">
        <x:f>IF('Pirma diena'!B31="","",'Pirma diena'!B31)</x:f>
      </x:c>
      <x:c r="C31" s="83" t="str">
        <x:f>IF(B31="","",'Pirma diena'!C31)</x:f>
      </x:c>
      <x:c r="D31" s="98" t="str">
        <x:f>IF(B31="","",IF(COUNTIF('Pirma diena'!$B$6:$B$90,B31)=0,"",SUMIF('Pirma diena'!$B$6:$B$90,B31,'Pirma diena'!$G$6:$G$90)))</x:f>
      </x:c>
      <x:c r="E31" s="98" t="str">
        <x:f>IF(B31="","",IF(COUNTIF('Antra diena'!$B$6:$B$90,B31)=0,"",SUMIF('Antra diena'!$B$6:$B$90,B31,'Antra diena'!$G$6:$G$90)))</x:f>
      </x:c>
      <x:c r="F31" s="98" t="str">
        <x:f>IF(B31="","",IF(COUNTIF('Trečia diena'!$B$6:$B$90,B31)=0,"",SUMIF('Trečia diena'!$B$6:$B$90,B31,'Trečia diena'!$G$6:$G$90)))</x:f>
      </x:c>
      <x:c r="G31" s="98" t="str">
        <x:f>IF(B31="","",COUNT(D31:F31))</x:f>
      </x:c>
      <x:c r="H31" s="98" t="str">
        <x:f>IF(B31="","",SUM(D31:F31))</x:f>
      </x:c>
      <x:c r="I31" s="101" t="str">
        <x:f>IF(B31="","",SUMIF('Pirma diena'!$B$6:$B$90,B31,'Pirma diena'!$E$6:$E$90)+SUMIF('Antra diena'!$B$6:$B$90,B31,'Antra diena'!$E$6:$E$90)+SUMIF('Trečia diena'!$B$6:$B$90,B31,'Trečia diena'!$E$6:$E$90))</x:f>
      </x:c>
      <x:c r="J31" s="83" t="str">
        <x:f>IF(B31="","",IF(G31=3,"3 dienos",IF(G31=2,"2 dienos","Tik 1 diena")))</x:f>
      </x:c>
    </x:row>
    <x:row r="32">
      <x:c r="A32" s="95" t="str">
        <x:f>IF(B32="","",1+COUNTIFS($H$6:$H$90,"&gt;0",$H$6:$H$90,"&lt;"&amp;H32)+COUNTIFS($H$6:$H$90,H32,$I$6:$I$90,"&gt;"&amp;I32))</x:f>
      </x:c>
      <x:c r="B32" s="83" t="str">
        <x:f>IF('Pirma diena'!B32="","",'Pirma diena'!B32)</x:f>
      </x:c>
      <x:c r="C32" s="83" t="str">
        <x:f>IF(B32="","",'Pirma diena'!C32)</x:f>
      </x:c>
      <x:c r="D32" s="98" t="str">
        <x:f>IF(B32="","",IF(COUNTIF('Pirma diena'!$B$6:$B$90,B32)=0,"",SUMIF('Pirma diena'!$B$6:$B$90,B32,'Pirma diena'!$G$6:$G$90)))</x:f>
      </x:c>
      <x:c r="E32" s="98" t="str">
        <x:f>IF(B32="","",IF(COUNTIF('Antra diena'!$B$6:$B$90,B32)=0,"",SUMIF('Antra diena'!$B$6:$B$90,B32,'Antra diena'!$G$6:$G$90)))</x:f>
      </x:c>
      <x:c r="F32" s="98" t="str">
        <x:f>IF(B32="","",IF(COUNTIF('Trečia diena'!$B$6:$B$90,B32)=0,"",SUMIF('Trečia diena'!$B$6:$B$90,B32,'Trečia diena'!$G$6:$G$90)))</x:f>
      </x:c>
      <x:c r="G32" s="98" t="str">
        <x:f>IF(B32="","",COUNT(D32:F32))</x:f>
      </x:c>
      <x:c r="H32" s="98" t="str">
        <x:f>IF(B32="","",SUM(D32:F32))</x:f>
      </x:c>
      <x:c r="I32" s="101" t="str">
        <x:f>IF(B32="","",SUMIF('Pirma diena'!$B$6:$B$90,B32,'Pirma diena'!$E$6:$E$90)+SUMIF('Antra diena'!$B$6:$B$90,B32,'Antra diena'!$E$6:$E$90)+SUMIF('Trečia diena'!$B$6:$B$90,B32,'Trečia diena'!$E$6:$E$90))</x:f>
      </x:c>
      <x:c r="J32" s="83" t="str">
        <x:f>IF(B32="","",IF(G32=3,"3 dienos",IF(G32=2,"2 dienos","Tik 1 diena")))</x:f>
      </x:c>
    </x:row>
    <x:row r="33">
      <x:c r="A33" s="95" t="str">
        <x:f>IF(B33="","",1+COUNTIFS($H$6:$H$90,"&gt;0",$H$6:$H$90,"&lt;"&amp;H33)+COUNTIFS($H$6:$H$90,H33,$I$6:$I$90,"&gt;"&amp;I33))</x:f>
      </x:c>
      <x:c r="B33" s="83" t="str">
        <x:f>IF('Pirma diena'!B33="","",'Pirma diena'!B33)</x:f>
      </x:c>
      <x:c r="C33" s="83" t="str">
        <x:f>IF(B33="","",'Pirma diena'!C33)</x:f>
      </x:c>
      <x:c r="D33" s="98" t="str">
        <x:f>IF(B33="","",IF(COUNTIF('Pirma diena'!$B$6:$B$90,B33)=0,"",SUMIF('Pirma diena'!$B$6:$B$90,B33,'Pirma diena'!$G$6:$G$90)))</x:f>
      </x:c>
      <x:c r="E33" s="98" t="str">
        <x:f>IF(B33="","",IF(COUNTIF('Antra diena'!$B$6:$B$90,B33)=0,"",SUMIF('Antra diena'!$B$6:$B$90,B33,'Antra diena'!$G$6:$G$90)))</x:f>
      </x:c>
      <x:c r="F33" s="98" t="str">
        <x:f>IF(B33="","",IF(COUNTIF('Trečia diena'!$B$6:$B$90,B33)=0,"",SUMIF('Trečia diena'!$B$6:$B$90,B33,'Trečia diena'!$G$6:$G$90)))</x:f>
      </x:c>
      <x:c r="G33" s="98" t="str">
        <x:f>IF(B33="","",COUNT(D33:F33))</x:f>
      </x:c>
      <x:c r="H33" s="98" t="str">
        <x:f>IF(B33="","",SUM(D33:F33))</x:f>
      </x:c>
      <x:c r="I33" s="101" t="str">
        <x:f>IF(B33="","",SUMIF('Pirma diena'!$B$6:$B$90,B33,'Pirma diena'!$E$6:$E$90)+SUMIF('Antra diena'!$B$6:$B$90,B33,'Antra diena'!$E$6:$E$90)+SUMIF('Trečia diena'!$B$6:$B$90,B33,'Trečia diena'!$E$6:$E$90))</x:f>
      </x:c>
      <x:c r="J33" s="83" t="str">
        <x:f>IF(B33="","",IF(G33=3,"3 dienos",IF(G33=2,"2 dienos","Tik 1 diena")))</x:f>
      </x:c>
    </x:row>
    <x:row r="34">
      <x:c r="A34" s="95" t="str">
        <x:f>IF(B34="","",1+COUNTIFS($H$6:$H$90,"&gt;0",$H$6:$H$90,"&lt;"&amp;H34)+COUNTIFS($H$6:$H$90,H34,$I$6:$I$90,"&gt;"&amp;I34))</x:f>
      </x:c>
      <x:c r="B34" s="83" t="str">
        <x:f>IF('Pirma diena'!B34="","",'Pirma diena'!B34)</x:f>
      </x:c>
      <x:c r="C34" s="83" t="str">
        <x:f>IF(B34="","",'Pirma diena'!C34)</x:f>
      </x:c>
      <x:c r="D34" s="98" t="str">
        <x:f>IF(B34="","",IF(COUNTIF('Pirma diena'!$B$6:$B$90,B34)=0,"",SUMIF('Pirma diena'!$B$6:$B$90,B34,'Pirma diena'!$G$6:$G$90)))</x:f>
      </x:c>
      <x:c r="E34" s="98" t="str">
        <x:f>IF(B34="","",IF(COUNTIF('Antra diena'!$B$6:$B$90,B34)=0,"",SUMIF('Antra diena'!$B$6:$B$90,B34,'Antra diena'!$G$6:$G$90)))</x:f>
      </x:c>
      <x:c r="F34" s="98" t="str">
        <x:f>IF(B34="","",IF(COUNTIF('Trečia diena'!$B$6:$B$90,B34)=0,"",SUMIF('Trečia diena'!$B$6:$B$90,B34,'Trečia diena'!$G$6:$G$90)))</x:f>
      </x:c>
      <x:c r="G34" s="98" t="str">
        <x:f>IF(B34="","",COUNT(D34:F34))</x:f>
      </x:c>
      <x:c r="H34" s="98" t="str">
        <x:f>IF(B34="","",SUM(D34:F34))</x:f>
      </x:c>
      <x:c r="I34" s="101" t="str">
        <x:f>IF(B34="","",SUMIF('Pirma diena'!$B$6:$B$90,B34,'Pirma diena'!$E$6:$E$90)+SUMIF('Antra diena'!$B$6:$B$90,B34,'Antra diena'!$E$6:$E$90)+SUMIF('Trečia diena'!$B$6:$B$90,B34,'Trečia diena'!$E$6:$E$90))</x:f>
      </x:c>
      <x:c r="J34" s="83" t="str">
        <x:f>IF(B34="","",IF(G34=3,"3 dienos",IF(G34=2,"2 dienos","Tik 1 diena")))</x:f>
      </x:c>
    </x:row>
    <x:row r="35">
      <x:c r="A35" s="95" t="str">
        <x:f>IF(B35="","",1+COUNTIFS($H$6:$H$90,"&gt;0",$H$6:$H$90,"&lt;"&amp;H35)+COUNTIFS($H$6:$H$90,H35,$I$6:$I$90,"&gt;"&amp;I35))</x:f>
      </x:c>
      <x:c r="B35" s="83" t="str">
        <x:f>IF('Pirma diena'!B35="","",'Pirma diena'!B35)</x:f>
      </x:c>
      <x:c r="C35" s="83" t="str">
        <x:f>IF(B35="","",'Pirma diena'!C35)</x:f>
      </x:c>
      <x:c r="D35" s="98" t="str">
        <x:f>IF(B35="","",IF(COUNTIF('Pirma diena'!$B$6:$B$90,B35)=0,"",SUMIF('Pirma diena'!$B$6:$B$90,B35,'Pirma diena'!$G$6:$G$90)))</x:f>
      </x:c>
      <x:c r="E35" s="98" t="str">
        <x:f>IF(B35="","",IF(COUNTIF('Antra diena'!$B$6:$B$90,B35)=0,"",SUMIF('Antra diena'!$B$6:$B$90,B35,'Antra diena'!$G$6:$G$90)))</x:f>
      </x:c>
      <x:c r="F35" s="98" t="str">
        <x:f>IF(B35="","",IF(COUNTIF('Trečia diena'!$B$6:$B$90,B35)=0,"",SUMIF('Trečia diena'!$B$6:$B$90,B35,'Trečia diena'!$G$6:$G$90)))</x:f>
      </x:c>
      <x:c r="G35" s="98" t="str">
        <x:f>IF(B35="","",COUNT(D35:F35))</x:f>
      </x:c>
      <x:c r="H35" s="98" t="str">
        <x:f>IF(B35="","",SUM(D35:F35))</x:f>
      </x:c>
      <x:c r="I35" s="101" t="str">
        <x:f>IF(B35="","",SUMIF('Pirma diena'!$B$6:$B$90,B35,'Pirma diena'!$E$6:$E$90)+SUMIF('Antra diena'!$B$6:$B$90,B35,'Antra diena'!$E$6:$E$90)+SUMIF('Trečia diena'!$B$6:$B$90,B35,'Trečia diena'!$E$6:$E$90))</x:f>
      </x:c>
      <x:c r="J35" s="83" t="str">
        <x:f>IF(B35="","",IF(G35=3,"3 dienos",IF(G35=2,"2 dienos","Tik 1 diena")))</x:f>
      </x:c>
    </x:row>
    <x:row r="36">
      <x:c r="A36" s="95" t="str">
        <x:f>IF(B36="","",1+COUNTIFS($H$6:$H$90,"&gt;0",$H$6:$H$90,"&lt;"&amp;H36)+COUNTIFS($H$6:$H$90,H36,$I$6:$I$90,"&gt;"&amp;I36))</x:f>
      </x:c>
      <x:c r="B36" s="83" t="str">
        <x:f>IF('Pirma diena'!B36="","",'Pirma diena'!B36)</x:f>
      </x:c>
      <x:c r="C36" s="83" t="str">
        <x:f>IF(B36="","",'Pirma diena'!C36)</x:f>
      </x:c>
      <x:c r="D36" s="98" t="str">
        <x:f>IF(B36="","",IF(COUNTIF('Pirma diena'!$B$6:$B$90,B36)=0,"",SUMIF('Pirma diena'!$B$6:$B$90,B36,'Pirma diena'!$G$6:$G$90)))</x:f>
      </x:c>
      <x:c r="E36" s="98" t="str">
        <x:f>IF(B36="","",IF(COUNTIF('Antra diena'!$B$6:$B$90,B36)=0,"",SUMIF('Antra diena'!$B$6:$B$90,B36,'Antra diena'!$G$6:$G$90)))</x:f>
      </x:c>
      <x:c r="F36" s="98" t="str">
        <x:f>IF(B36="","",IF(COUNTIF('Trečia diena'!$B$6:$B$90,B36)=0,"",SUMIF('Trečia diena'!$B$6:$B$90,B36,'Trečia diena'!$G$6:$G$90)))</x:f>
      </x:c>
      <x:c r="G36" s="98" t="str">
        <x:f>IF(B36="","",COUNT(D36:F36))</x:f>
      </x:c>
      <x:c r="H36" s="98" t="str">
        <x:f>IF(B36="","",SUM(D36:F36))</x:f>
      </x:c>
      <x:c r="I36" s="101" t="str">
        <x:f>IF(B36="","",SUMIF('Pirma diena'!$B$6:$B$90,B36,'Pirma diena'!$E$6:$E$90)+SUMIF('Antra diena'!$B$6:$B$90,B36,'Antra diena'!$E$6:$E$90)+SUMIF('Trečia diena'!$B$6:$B$90,B36,'Trečia diena'!$E$6:$E$90))</x:f>
      </x:c>
      <x:c r="J36" s="83" t="str">
        <x:f>IF(B36="","",IF(G36=3,"3 dienos",IF(G36=2,"2 dienos","Tik 1 diena")))</x:f>
      </x:c>
    </x:row>
    <x:row r="37">
      <x:c r="A37" s="95" t="str">
        <x:f>IF(B37="","",1+COUNTIFS($H$6:$H$90,"&gt;0",$H$6:$H$90,"&lt;"&amp;H37)+COUNTIFS($H$6:$H$90,H37,$I$6:$I$90,"&gt;"&amp;I37))</x:f>
      </x:c>
      <x:c r="B37" s="83" t="str">
        <x:f>IF('Pirma diena'!B37="","",'Pirma diena'!B37)</x:f>
      </x:c>
      <x:c r="C37" s="83" t="str">
        <x:f>IF(B37="","",'Pirma diena'!C37)</x:f>
      </x:c>
      <x:c r="D37" s="98" t="str">
        <x:f>IF(B37="","",IF(COUNTIF('Pirma diena'!$B$6:$B$90,B37)=0,"",SUMIF('Pirma diena'!$B$6:$B$90,B37,'Pirma diena'!$G$6:$G$90)))</x:f>
      </x:c>
      <x:c r="E37" s="98" t="str">
        <x:f>IF(B37="","",IF(COUNTIF('Antra diena'!$B$6:$B$90,B37)=0,"",SUMIF('Antra diena'!$B$6:$B$90,B37,'Antra diena'!$G$6:$G$90)))</x:f>
      </x:c>
      <x:c r="F37" s="98" t="str">
        <x:f>IF(B37="","",IF(COUNTIF('Trečia diena'!$B$6:$B$90,B37)=0,"",SUMIF('Trečia diena'!$B$6:$B$90,B37,'Trečia diena'!$G$6:$G$90)))</x:f>
      </x:c>
      <x:c r="G37" s="98" t="str">
        <x:f>IF(B37="","",COUNT(D37:F37))</x:f>
      </x:c>
      <x:c r="H37" s="98" t="str">
        <x:f>IF(B37="","",SUM(D37:F37))</x:f>
      </x:c>
      <x:c r="I37" s="101" t="str">
        <x:f>IF(B37="","",SUMIF('Pirma diena'!$B$6:$B$90,B37,'Pirma diena'!$E$6:$E$90)+SUMIF('Antra diena'!$B$6:$B$90,B37,'Antra diena'!$E$6:$E$90)+SUMIF('Trečia diena'!$B$6:$B$90,B37,'Trečia diena'!$E$6:$E$90))</x:f>
      </x:c>
      <x:c r="J37" s="83" t="str">
        <x:f>IF(B37="","",IF(G37=3,"3 dienos",IF(G37=2,"2 dienos","Tik 1 diena")))</x:f>
      </x:c>
    </x:row>
    <x:row r="38">
      <x:c r="A38" s="95" t="str">
        <x:f>IF(B38="","",1+COUNTIFS($H$6:$H$90,"&gt;0",$H$6:$H$90,"&lt;"&amp;H38)+COUNTIFS($H$6:$H$90,H38,$I$6:$I$90,"&gt;"&amp;I38))</x:f>
      </x:c>
      <x:c r="B38" s="83" t="str">
        <x:f>IF('Pirma diena'!B38="","",'Pirma diena'!B38)</x:f>
      </x:c>
      <x:c r="C38" s="83" t="str">
        <x:f>IF(B38="","",'Pirma diena'!C38)</x:f>
      </x:c>
      <x:c r="D38" s="98" t="str">
        <x:f>IF(B38="","",IF(COUNTIF('Pirma diena'!$B$6:$B$90,B38)=0,"",SUMIF('Pirma diena'!$B$6:$B$90,B38,'Pirma diena'!$G$6:$G$90)))</x:f>
      </x:c>
      <x:c r="E38" s="98" t="str">
        <x:f>IF(B38="","",IF(COUNTIF('Antra diena'!$B$6:$B$90,B38)=0,"",SUMIF('Antra diena'!$B$6:$B$90,B38,'Antra diena'!$G$6:$G$90)))</x:f>
      </x:c>
      <x:c r="F38" s="98" t="str">
        <x:f>IF(B38="","",IF(COUNTIF('Trečia diena'!$B$6:$B$90,B38)=0,"",SUMIF('Trečia diena'!$B$6:$B$90,B38,'Trečia diena'!$G$6:$G$90)))</x:f>
      </x:c>
      <x:c r="G38" s="98" t="str">
        <x:f>IF(B38="","",COUNT(D38:F38))</x:f>
      </x:c>
      <x:c r="H38" s="98" t="str">
        <x:f>IF(B38="","",SUM(D38:F38))</x:f>
      </x:c>
      <x:c r="I38" s="101" t="str">
        <x:f>IF(B38="","",SUMIF('Pirma diena'!$B$6:$B$90,B38,'Pirma diena'!$E$6:$E$90)+SUMIF('Antra diena'!$B$6:$B$90,B38,'Antra diena'!$E$6:$E$90)+SUMIF('Trečia diena'!$B$6:$B$90,B38,'Trečia diena'!$E$6:$E$90))</x:f>
      </x:c>
      <x:c r="J38" s="83" t="str">
        <x:f>IF(B38="","",IF(G38=3,"3 dienos",IF(G38=2,"2 dienos","Tik 1 diena")))</x:f>
      </x:c>
    </x:row>
    <x:row r="39">
      <x:c r="A39" s="95" t="str">
        <x:f>IF(B39="","",1+COUNTIFS($H$6:$H$90,"&gt;0",$H$6:$H$90,"&lt;"&amp;H39)+COUNTIFS($H$6:$H$90,H39,$I$6:$I$90,"&gt;"&amp;I39))</x:f>
      </x:c>
      <x:c r="B39" s="83" t="str">
        <x:f>IF('Pirma diena'!B39="","",'Pirma diena'!B39)</x:f>
      </x:c>
      <x:c r="C39" s="83" t="str">
        <x:f>IF(B39="","",'Pirma diena'!C39)</x:f>
      </x:c>
      <x:c r="D39" s="98" t="str">
        <x:f>IF(B39="","",IF(COUNTIF('Pirma diena'!$B$6:$B$90,B39)=0,"",SUMIF('Pirma diena'!$B$6:$B$90,B39,'Pirma diena'!$G$6:$G$90)))</x:f>
      </x:c>
      <x:c r="E39" s="98" t="str">
        <x:f>IF(B39="","",IF(COUNTIF('Antra diena'!$B$6:$B$90,B39)=0,"",SUMIF('Antra diena'!$B$6:$B$90,B39,'Antra diena'!$G$6:$G$90)))</x:f>
      </x:c>
      <x:c r="F39" s="98" t="str">
        <x:f>IF(B39="","",IF(COUNTIF('Trečia diena'!$B$6:$B$90,B39)=0,"",SUMIF('Trečia diena'!$B$6:$B$90,B39,'Trečia diena'!$G$6:$G$90)))</x:f>
      </x:c>
      <x:c r="G39" s="98" t="str">
        <x:f>IF(B39="","",COUNT(D39:F39))</x:f>
      </x:c>
      <x:c r="H39" s="98" t="str">
        <x:f>IF(B39="","",SUM(D39:F39))</x:f>
      </x:c>
      <x:c r="I39" s="101" t="str">
        <x:f>IF(B39="","",SUMIF('Pirma diena'!$B$6:$B$90,B39,'Pirma diena'!$E$6:$E$90)+SUMIF('Antra diena'!$B$6:$B$90,B39,'Antra diena'!$E$6:$E$90)+SUMIF('Trečia diena'!$B$6:$B$90,B39,'Trečia diena'!$E$6:$E$90))</x:f>
      </x:c>
      <x:c r="J39" s="83" t="str">
        <x:f>IF(B39="","",IF(G39=3,"3 dienos",IF(G39=2,"2 dienos","Tik 1 diena")))</x:f>
      </x:c>
    </x:row>
    <x:row r="40">
      <x:c r="A40" s="95" t="str">
        <x:f>IF(B40="","",1+COUNTIFS($H$6:$H$90,"&gt;0",$H$6:$H$90,"&lt;"&amp;H40)+COUNTIFS($H$6:$H$90,H40,$I$6:$I$90,"&gt;"&amp;I40))</x:f>
      </x:c>
      <x:c r="B40" s="83" t="str">
        <x:f>IF('Pirma diena'!B40="","",'Pirma diena'!B40)</x:f>
      </x:c>
      <x:c r="C40" s="83" t="str">
        <x:f>IF(B40="","",'Pirma diena'!C40)</x:f>
      </x:c>
      <x:c r="D40" s="98" t="str">
        <x:f>IF(B40="","",IF(COUNTIF('Pirma diena'!$B$6:$B$90,B40)=0,"",SUMIF('Pirma diena'!$B$6:$B$90,B40,'Pirma diena'!$G$6:$G$90)))</x:f>
      </x:c>
      <x:c r="E40" s="98" t="str">
        <x:f>IF(B40="","",IF(COUNTIF('Antra diena'!$B$6:$B$90,B40)=0,"",SUMIF('Antra diena'!$B$6:$B$90,B40,'Antra diena'!$G$6:$G$90)))</x:f>
      </x:c>
      <x:c r="F40" s="98" t="str">
        <x:f>IF(B40="","",IF(COUNTIF('Trečia diena'!$B$6:$B$90,B40)=0,"",SUMIF('Trečia diena'!$B$6:$B$90,B40,'Trečia diena'!$G$6:$G$90)))</x:f>
      </x:c>
      <x:c r="G40" s="98" t="str">
        <x:f>IF(B40="","",COUNT(D40:F40))</x:f>
      </x:c>
      <x:c r="H40" s="98" t="str">
        <x:f>IF(B40="","",SUM(D40:F40))</x:f>
      </x:c>
      <x:c r="I40" s="101" t="str">
        <x:f>IF(B40="","",SUMIF('Pirma diena'!$B$6:$B$90,B40,'Pirma diena'!$E$6:$E$90)+SUMIF('Antra diena'!$B$6:$B$90,B40,'Antra diena'!$E$6:$E$90)+SUMIF('Trečia diena'!$B$6:$B$90,B40,'Trečia diena'!$E$6:$E$90))</x:f>
      </x:c>
      <x:c r="J40" s="83" t="str">
        <x:f>IF(B40="","",IF(G40=3,"3 dienos",IF(G40=2,"2 dienos","Tik 1 diena")))</x:f>
      </x:c>
    </x:row>
    <x:row r="41">
      <x:c r="A41" s="95" t="str">
        <x:f>IF(B41="","",1+COUNTIFS($H$6:$H$90,"&gt;0",$H$6:$H$90,"&lt;"&amp;H41)+COUNTIFS($H$6:$H$90,H41,$I$6:$I$90,"&gt;"&amp;I41))</x:f>
      </x:c>
      <x:c r="B41" s="83" t="str">
        <x:f>IF('Pirma diena'!B41="","",'Pirma diena'!B41)</x:f>
      </x:c>
      <x:c r="C41" s="83" t="str">
        <x:f>IF(B41="","",'Pirma diena'!C41)</x:f>
      </x:c>
      <x:c r="D41" s="98" t="str">
        <x:f>IF(B41="","",IF(COUNTIF('Pirma diena'!$B$6:$B$90,B41)=0,"",SUMIF('Pirma diena'!$B$6:$B$90,B41,'Pirma diena'!$G$6:$G$90)))</x:f>
      </x:c>
      <x:c r="E41" s="98" t="str">
        <x:f>IF(B41="","",IF(COUNTIF('Antra diena'!$B$6:$B$90,B41)=0,"",SUMIF('Antra diena'!$B$6:$B$90,B41,'Antra diena'!$G$6:$G$90)))</x:f>
      </x:c>
      <x:c r="F41" s="98" t="str">
        <x:f>IF(B41="","",IF(COUNTIF('Trečia diena'!$B$6:$B$90,B41)=0,"",SUMIF('Trečia diena'!$B$6:$B$90,B41,'Trečia diena'!$G$6:$G$90)))</x:f>
      </x:c>
      <x:c r="G41" s="98" t="str">
        <x:f>IF(B41="","",COUNT(D41:F41))</x:f>
      </x:c>
      <x:c r="H41" s="98" t="str">
        <x:f>IF(B41="","",SUM(D41:F41))</x:f>
      </x:c>
      <x:c r="I41" s="101" t="str">
        <x:f>IF(B41="","",SUMIF('Pirma diena'!$B$6:$B$90,B41,'Pirma diena'!$E$6:$E$90)+SUMIF('Antra diena'!$B$6:$B$90,B41,'Antra diena'!$E$6:$E$90)+SUMIF('Trečia diena'!$B$6:$B$90,B41,'Trečia diena'!$E$6:$E$90))</x:f>
      </x:c>
      <x:c r="J41" s="83" t="str">
        <x:f>IF(B41="","",IF(G41=3,"3 dienos",IF(G41=2,"2 dienos","Tik 1 diena")))</x:f>
      </x:c>
    </x:row>
    <x:row r="42">
      <x:c r="A42" s="95" t="str">
        <x:f>IF(B42="","",1+COUNTIFS($H$6:$H$90,"&gt;0",$H$6:$H$90,"&lt;"&amp;H42)+COUNTIFS($H$6:$H$90,H42,$I$6:$I$90,"&gt;"&amp;I42))</x:f>
      </x:c>
      <x:c r="B42" s="83" t="str">
        <x:f>IF('Pirma diena'!B42="","",'Pirma diena'!B42)</x:f>
      </x:c>
      <x:c r="C42" s="83" t="str">
        <x:f>IF(B42="","",'Pirma diena'!C42)</x:f>
      </x:c>
      <x:c r="D42" s="98" t="str">
        <x:f>IF(B42="","",IF(COUNTIF('Pirma diena'!$B$6:$B$90,B42)=0,"",SUMIF('Pirma diena'!$B$6:$B$90,B42,'Pirma diena'!$G$6:$G$90)))</x:f>
      </x:c>
      <x:c r="E42" s="98" t="str">
        <x:f>IF(B42="","",IF(COUNTIF('Antra diena'!$B$6:$B$90,B42)=0,"",SUMIF('Antra diena'!$B$6:$B$90,B42,'Antra diena'!$G$6:$G$90)))</x:f>
      </x:c>
      <x:c r="F42" s="98" t="str">
        <x:f>IF(B42="","",IF(COUNTIF('Trečia diena'!$B$6:$B$90,B42)=0,"",SUMIF('Trečia diena'!$B$6:$B$90,B42,'Trečia diena'!$G$6:$G$90)))</x:f>
      </x:c>
      <x:c r="G42" s="98" t="str">
        <x:f>IF(B42="","",COUNT(D42:F42))</x:f>
      </x:c>
      <x:c r="H42" s="98" t="str">
        <x:f>IF(B42="","",SUM(D42:F42))</x:f>
      </x:c>
      <x:c r="I42" s="101" t="str">
        <x:f>IF(B42="","",SUMIF('Pirma diena'!$B$6:$B$90,B42,'Pirma diena'!$E$6:$E$90)+SUMIF('Antra diena'!$B$6:$B$90,B42,'Antra diena'!$E$6:$E$90)+SUMIF('Trečia diena'!$B$6:$B$90,B42,'Trečia diena'!$E$6:$E$90))</x:f>
      </x:c>
      <x:c r="J42" s="83" t="str">
        <x:f>IF(B42="","",IF(G42=3,"3 dienos",IF(G42=2,"2 dienos","Tik 1 diena")))</x:f>
      </x:c>
    </x:row>
    <x:row r="43">
      <x:c r="A43" s="95" t="str">
        <x:f>IF(B43="","",1+COUNTIFS($H$6:$H$90,"&gt;0",$H$6:$H$90,"&lt;"&amp;H43)+COUNTIFS($H$6:$H$90,H43,$I$6:$I$90,"&gt;"&amp;I43))</x:f>
      </x:c>
      <x:c r="B43" s="83" t="str">
        <x:f>IF('Pirma diena'!B43="","",'Pirma diena'!B43)</x:f>
      </x:c>
      <x:c r="C43" s="83" t="str">
        <x:f>IF(B43="","",'Pirma diena'!C43)</x:f>
      </x:c>
      <x:c r="D43" s="98" t="str">
        <x:f>IF(B43="","",IF(COUNTIF('Pirma diena'!$B$6:$B$90,B43)=0,"",SUMIF('Pirma diena'!$B$6:$B$90,B43,'Pirma diena'!$G$6:$G$90)))</x:f>
      </x:c>
      <x:c r="E43" s="98" t="str">
        <x:f>IF(B43="","",IF(COUNTIF('Antra diena'!$B$6:$B$90,B43)=0,"",SUMIF('Antra diena'!$B$6:$B$90,B43,'Antra diena'!$G$6:$G$90)))</x:f>
      </x:c>
      <x:c r="F43" s="98" t="str">
        <x:f>IF(B43="","",IF(COUNTIF('Trečia diena'!$B$6:$B$90,B43)=0,"",SUMIF('Trečia diena'!$B$6:$B$90,B43,'Trečia diena'!$G$6:$G$90)))</x:f>
      </x:c>
      <x:c r="G43" s="98" t="str">
        <x:f>IF(B43="","",COUNT(D43:F43))</x:f>
      </x:c>
      <x:c r="H43" s="98" t="str">
        <x:f>IF(B43="","",SUM(D43:F43))</x:f>
      </x:c>
      <x:c r="I43" s="101" t="str">
        <x:f>IF(B43="","",SUMIF('Pirma diena'!$B$6:$B$90,B43,'Pirma diena'!$E$6:$E$90)+SUMIF('Antra diena'!$B$6:$B$90,B43,'Antra diena'!$E$6:$E$90)+SUMIF('Trečia diena'!$B$6:$B$90,B43,'Trečia diena'!$E$6:$E$90))</x:f>
      </x:c>
      <x:c r="J43" s="83" t="str">
        <x:f>IF(B43="","",IF(G43=3,"3 dienos",IF(G43=2,"2 dienos","Tik 1 diena")))</x:f>
      </x:c>
    </x:row>
    <x:row r="44">
      <x:c r="A44" s="95" t="str">
        <x:f>IF(B44="","",1+COUNTIFS($H$6:$H$90,"&gt;0",$H$6:$H$90,"&lt;"&amp;H44)+COUNTIFS($H$6:$H$90,H44,$I$6:$I$90,"&gt;"&amp;I44))</x:f>
      </x:c>
      <x:c r="B44" s="83" t="str">
        <x:f>IF('Pirma diena'!B44="","",'Pirma diena'!B44)</x:f>
      </x:c>
      <x:c r="C44" s="83" t="str">
        <x:f>IF(B44="","",'Pirma diena'!C44)</x:f>
      </x:c>
      <x:c r="D44" s="98" t="str">
        <x:f>IF(B44="","",IF(COUNTIF('Pirma diena'!$B$6:$B$90,B44)=0,"",SUMIF('Pirma diena'!$B$6:$B$90,B44,'Pirma diena'!$G$6:$G$90)))</x:f>
      </x:c>
      <x:c r="E44" s="98" t="str">
        <x:f>IF(B44="","",IF(COUNTIF('Antra diena'!$B$6:$B$90,B44)=0,"",SUMIF('Antra diena'!$B$6:$B$90,B44,'Antra diena'!$G$6:$G$90)))</x:f>
      </x:c>
      <x:c r="F44" s="98" t="str">
        <x:f>IF(B44="","",IF(COUNTIF('Trečia diena'!$B$6:$B$90,B44)=0,"",SUMIF('Trečia diena'!$B$6:$B$90,B44,'Trečia diena'!$G$6:$G$90)))</x:f>
      </x:c>
      <x:c r="G44" s="98" t="str">
        <x:f>IF(B44="","",COUNT(D44:F44))</x:f>
      </x:c>
      <x:c r="H44" s="98" t="str">
        <x:f>IF(B44="","",SUM(D44:F44))</x:f>
      </x:c>
      <x:c r="I44" s="101" t="str">
        <x:f>IF(B44="","",SUMIF('Pirma diena'!$B$6:$B$90,B44,'Pirma diena'!$E$6:$E$90)+SUMIF('Antra diena'!$B$6:$B$90,B44,'Antra diena'!$E$6:$E$90)+SUMIF('Trečia diena'!$B$6:$B$90,B44,'Trečia diena'!$E$6:$E$90))</x:f>
      </x:c>
      <x:c r="J44" s="83" t="str">
        <x:f>IF(B44="","",IF(G44=3,"3 dienos",IF(G44=2,"2 dienos","Tik 1 diena")))</x:f>
      </x:c>
    </x:row>
    <x:row r="45">
      <x:c r="A45" s="95" t="str">
        <x:f>IF(B45="","",1+COUNTIFS($H$6:$H$90,"&gt;0",$H$6:$H$90,"&lt;"&amp;H45)+COUNTIFS($H$6:$H$90,H45,$I$6:$I$90,"&gt;"&amp;I45))</x:f>
      </x:c>
      <x:c r="B45" s="83" t="str">
        <x:f>IF('Pirma diena'!B45="","",'Pirma diena'!B45)</x:f>
      </x:c>
      <x:c r="C45" s="83" t="str">
        <x:f>IF(B45="","",'Pirma diena'!C45)</x:f>
      </x:c>
      <x:c r="D45" s="98" t="str">
        <x:f>IF(B45="","",IF(COUNTIF('Pirma diena'!$B$6:$B$90,B45)=0,"",SUMIF('Pirma diena'!$B$6:$B$90,B45,'Pirma diena'!$G$6:$G$90)))</x:f>
      </x:c>
      <x:c r="E45" s="98" t="str">
        <x:f>IF(B45="","",IF(COUNTIF('Antra diena'!$B$6:$B$90,B45)=0,"",SUMIF('Antra diena'!$B$6:$B$90,B45,'Antra diena'!$G$6:$G$90)))</x:f>
      </x:c>
      <x:c r="F45" s="98" t="str">
        <x:f>IF(B45="","",IF(COUNTIF('Trečia diena'!$B$6:$B$90,B45)=0,"",SUMIF('Trečia diena'!$B$6:$B$90,B45,'Trečia diena'!$G$6:$G$90)))</x:f>
      </x:c>
      <x:c r="G45" s="98" t="str">
        <x:f>IF(B45="","",COUNT(D45:F45))</x:f>
      </x:c>
      <x:c r="H45" s="98" t="str">
        <x:f>IF(B45="","",SUM(D45:F45))</x:f>
      </x:c>
      <x:c r="I45" s="101" t="str">
        <x:f>IF(B45="","",SUMIF('Pirma diena'!$B$6:$B$90,B45,'Pirma diena'!$E$6:$E$90)+SUMIF('Antra diena'!$B$6:$B$90,B45,'Antra diena'!$E$6:$E$90)+SUMIF('Trečia diena'!$B$6:$B$90,B45,'Trečia diena'!$E$6:$E$90))</x:f>
      </x:c>
      <x:c r="J45" s="83" t="str">
        <x:f>IF(B45="","",IF(G45=3,"3 dienos",IF(G45=2,"2 dienos","Tik 1 diena")))</x:f>
      </x:c>
    </x:row>
    <x:row r="46">
      <x:c r="A46" s="95" t="str">
        <x:f>IF(B46="","",1+COUNTIFS($H$6:$H$90,"&gt;0",$H$6:$H$90,"&lt;"&amp;H46)+COUNTIFS($H$6:$H$90,H46,$I$6:$I$90,"&gt;"&amp;I46))</x:f>
      </x:c>
      <x:c r="B46" s="83" t="str">
        <x:f>IF('Pirma diena'!B46="","",'Pirma diena'!B46)</x:f>
      </x:c>
      <x:c r="C46" s="83" t="str">
        <x:f>IF(B46="","",'Pirma diena'!C46)</x:f>
      </x:c>
      <x:c r="D46" s="98" t="str">
        <x:f>IF(B46="","",IF(COUNTIF('Pirma diena'!$B$6:$B$90,B46)=0,"",SUMIF('Pirma diena'!$B$6:$B$90,B46,'Pirma diena'!$G$6:$G$90)))</x:f>
      </x:c>
      <x:c r="E46" s="98" t="str">
        <x:f>IF(B46="","",IF(COUNTIF('Antra diena'!$B$6:$B$90,B46)=0,"",SUMIF('Antra diena'!$B$6:$B$90,B46,'Antra diena'!$G$6:$G$90)))</x:f>
      </x:c>
      <x:c r="F46" s="98" t="str">
        <x:f>IF(B46="","",IF(COUNTIF('Trečia diena'!$B$6:$B$90,B46)=0,"",SUMIF('Trečia diena'!$B$6:$B$90,B46,'Trečia diena'!$G$6:$G$90)))</x:f>
      </x:c>
      <x:c r="G46" s="98" t="str">
        <x:f>IF(B46="","",COUNT(D46:F46))</x:f>
      </x:c>
      <x:c r="H46" s="98" t="str">
        <x:f>IF(B46="","",SUM(D46:F46))</x:f>
      </x:c>
      <x:c r="I46" s="101" t="str">
        <x:f>IF(B46="","",SUMIF('Pirma diena'!$B$6:$B$90,B46,'Pirma diena'!$E$6:$E$90)+SUMIF('Antra diena'!$B$6:$B$90,B46,'Antra diena'!$E$6:$E$90)+SUMIF('Trečia diena'!$B$6:$B$90,B46,'Trečia diena'!$E$6:$E$90))</x:f>
      </x:c>
      <x:c r="J46" s="83" t="str">
        <x:f>IF(B46="","",IF(G46=3,"3 dienos",IF(G46=2,"2 dienos","Tik 1 diena")))</x:f>
      </x:c>
    </x:row>
    <x:row r="47">
      <x:c r="A47" s="95" t="str">
        <x:f>IF(B47="","",1+COUNTIFS($H$6:$H$90,"&gt;0",$H$6:$H$90,"&lt;"&amp;H47)+COUNTIFS($H$6:$H$90,H47,$I$6:$I$90,"&gt;"&amp;I47))</x:f>
      </x:c>
      <x:c r="B47" s="83" t="str">
        <x:f>IF('Pirma diena'!B47="","",'Pirma diena'!B47)</x:f>
      </x:c>
      <x:c r="C47" s="83" t="str">
        <x:f>IF(B47="","",'Pirma diena'!C47)</x:f>
      </x:c>
      <x:c r="D47" s="98" t="str">
        <x:f>IF(B47="","",IF(COUNTIF('Pirma diena'!$B$6:$B$90,B47)=0,"",SUMIF('Pirma diena'!$B$6:$B$90,B47,'Pirma diena'!$G$6:$G$90)))</x:f>
      </x:c>
      <x:c r="E47" s="98" t="str">
        <x:f>IF(B47="","",IF(COUNTIF('Antra diena'!$B$6:$B$90,B47)=0,"",SUMIF('Antra diena'!$B$6:$B$90,B47,'Antra diena'!$G$6:$G$90)))</x:f>
      </x:c>
      <x:c r="F47" s="98" t="str">
        <x:f>IF(B47="","",IF(COUNTIF('Trečia diena'!$B$6:$B$90,B47)=0,"",SUMIF('Trečia diena'!$B$6:$B$90,B47,'Trečia diena'!$G$6:$G$90)))</x:f>
      </x:c>
      <x:c r="G47" s="98" t="str">
        <x:f>IF(B47="","",COUNT(D47:F47))</x:f>
      </x:c>
      <x:c r="H47" s="98" t="str">
        <x:f>IF(B47="","",SUM(D47:F47))</x:f>
      </x:c>
      <x:c r="I47" s="101" t="str">
        <x:f>IF(B47="","",SUMIF('Pirma diena'!$B$6:$B$90,B47,'Pirma diena'!$E$6:$E$90)+SUMIF('Antra diena'!$B$6:$B$90,B47,'Antra diena'!$E$6:$E$90)+SUMIF('Trečia diena'!$B$6:$B$90,B47,'Trečia diena'!$E$6:$E$90))</x:f>
      </x:c>
      <x:c r="J47" s="83" t="str">
        <x:f>IF(B47="","",IF(G47=3,"3 dienos",IF(G47=2,"2 dienos","Tik 1 diena")))</x:f>
      </x:c>
    </x:row>
    <x:row r="48">
      <x:c r="A48" s="95" t="str">
        <x:f>IF(B48="","",1+COUNTIFS($H$6:$H$90,"&gt;0",$H$6:$H$90,"&lt;"&amp;H48)+COUNTIFS($H$6:$H$90,H48,$I$6:$I$90,"&gt;"&amp;I48))</x:f>
      </x:c>
      <x:c r="B48" s="83" t="str">
        <x:f>IF('Pirma diena'!B48="","",'Pirma diena'!B48)</x:f>
      </x:c>
      <x:c r="C48" s="83" t="str">
        <x:f>IF(B48="","",'Pirma diena'!C48)</x:f>
      </x:c>
      <x:c r="D48" s="98" t="str">
        <x:f>IF(B48="","",IF(COUNTIF('Pirma diena'!$B$6:$B$90,B48)=0,"",SUMIF('Pirma diena'!$B$6:$B$90,B48,'Pirma diena'!$G$6:$G$90)))</x:f>
      </x:c>
      <x:c r="E48" s="98" t="str">
        <x:f>IF(B48="","",IF(COUNTIF('Antra diena'!$B$6:$B$90,B48)=0,"",SUMIF('Antra diena'!$B$6:$B$90,B48,'Antra diena'!$G$6:$G$90)))</x:f>
      </x:c>
      <x:c r="F48" s="98" t="str">
        <x:f>IF(B48="","",IF(COUNTIF('Trečia diena'!$B$6:$B$90,B48)=0,"",SUMIF('Trečia diena'!$B$6:$B$90,B48,'Trečia diena'!$G$6:$G$90)))</x:f>
      </x:c>
      <x:c r="G48" s="98" t="str">
        <x:f>IF(B48="","",COUNT(D48:F48))</x:f>
      </x:c>
      <x:c r="H48" s="98" t="str">
        <x:f>IF(B48="","",SUM(D48:F48))</x:f>
      </x:c>
      <x:c r="I48" s="101" t="str">
        <x:f>IF(B48="","",SUMIF('Pirma diena'!$B$6:$B$90,B48,'Pirma diena'!$E$6:$E$90)+SUMIF('Antra diena'!$B$6:$B$90,B48,'Antra diena'!$E$6:$E$90)+SUMIF('Trečia diena'!$B$6:$B$90,B48,'Trečia diena'!$E$6:$E$90))</x:f>
      </x:c>
      <x:c r="J48" s="83" t="str">
        <x:f>IF(B48="","",IF(G48=3,"3 dienos",IF(G48=2,"2 dienos","Tik 1 diena")))</x:f>
      </x:c>
    </x:row>
    <x:row r="49">
      <x:c r="A49" s="95" t="str">
        <x:f>IF(B49="","",1+COUNTIFS($H$6:$H$90,"&gt;0",$H$6:$H$90,"&lt;"&amp;H49)+COUNTIFS($H$6:$H$90,H49,$I$6:$I$90,"&gt;"&amp;I49))</x:f>
      </x:c>
      <x:c r="B49" s="83" t="str">
        <x:f>IF('Pirma diena'!B49="","",'Pirma diena'!B49)</x:f>
      </x:c>
      <x:c r="C49" s="83" t="str">
        <x:f>IF(B49="","",'Pirma diena'!C49)</x:f>
      </x:c>
      <x:c r="D49" s="98" t="str">
        <x:f>IF(B49="","",IF(COUNTIF('Pirma diena'!$B$6:$B$90,B49)=0,"",SUMIF('Pirma diena'!$B$6:$B$90,B49,'Pirma diena'!$G$6:$G$90)))</x:f>
      </x:c>
      <x:c r="E49" s="98" t="str">
        <x:f>IF(B49="","",IF(COUNTIF('Antra diena'!$B$6:$B$90,B49)=0,"",SUMIF('Antra diena'!$B$6:$B$90,B49,'Antra diena'!$G$6:$G$90)))</x:f>
      </x:c>
      <x:c r="F49" s="98" t="str">
        <x:f>IF(B49="","",IF(COUNTIF('Trečia diena'!$B$6:$B$90,B49)=0,"",SUMIF('Trečia diena'!$B$6:$B$90,B49,'Trečia diena'!$G$6:$G$90)))</x:f>
      </x:c>
      <x:c r="G49" s="98" t="str">
        <x:f>IF(B49="","",COUNT(D49:F49))</x:f>
      </x:c>
      <x:c r="H49" s="98" t="str">
        <x:f>IF(B49="","",SUM(D49:F49))</x:f>
      </x:c>
      <x:c r="I49" s="101" t="str">
        <x:f>IF(B49="","",SUMIF('Pirma diena'!$B$6:$B$90,B49,'Pirma diena'!$E$6:$E$90)+SUMIF('Antra diena'!$B$6:$B$90,B49,'Antra diena'!$E$6:$E$90)+SUMIF('Trečia diena'!$B$6:$B$90,B49,'Trečia diena'!$E$6:$E$90))</x:f>
      </x:c>
      <x:c r="J49" s="83" t="str">
        <x:f>IF(B49="","",IF(G49=3,"3 dienos",IF(G49=2,"2 dienos","Tik 1 diena")))</x:f>
      </x:c>
    </x:row>
    <x:row r="50">
      <x:c r="A50" s="95" t="str">
        <x:f>IF(B50="","",1+COUNTIFS($H$6:$H$90,"&gt;0",$H$6:$H$90,"&lt;"&amp;H50)+COUNTIFS($H$6:$H$90,H50,$I$6:$I$90,"&gt;"&amp;I50))</x:f>
      </x:c>
      <x:c r="B50" s="83" t="str">
        <x:f>IF('Pirma diena'!B50="","",'Pirma diena'!B50)</x:f>
      </x:c>
      <x:c r="C50" s="83" t="str">
        <x:f>IF(B50="","",'Pirma diena'!C50)</x:f>
      </x:c>
      <x:c r="D50" s="98" t="str">
        <x:f>IF(B50="","",IF(COUNTIF('Pirma diena'!$B$6:$B$90,B50)=0,"",SUMIF('Pirma diena'!$B$6:$B$90,B50,'Pirma diena'!$G$6:$G$90)))</x:f>
      </x:c>
      <x:c r="E50" s="98" t="str">
        <x:f>IF(B50="","",IF(COUNTIF('Antra diena'!$B$6:$B$90,B50)=0,"",SUMIF('Antra diena'!$B$6:$B$90,B50,'Antra diena'!$G$6:$G$90)))</x:f>
      </x:c>
      <x:c r="F50" s="98" t="str">
        <x:f>IF(B50="","",IF(COUNTIF('Trečia diena'!$B$6:$B$90,B50)=0,"",SUMIF('Trečia diena'!$B$6:$B$90,B50,'Trečia diena'!$G$6:$G$90)))</x:f>
      </x:c>
      <x:c r="G50" s="98" t="str">
        <x:f>IF(B50="","",COUNT(D50:F50))</x:f>
      </x:c>
      <x:c r="H50" s="98" t="str">
        <x:f>IF(B50="","",SUM(D50:F50))</x:f>
      </x:c>
      <x:c r="I50" s="101" t="str">
        <x:f>IF(B50="","",SUMIF('Pirma diena'!$B$6:$B$90,B50,'Pirma diena'!$E$6:$E$90)+SUMIF('Antra diena'!$B$6:$B$90,B50,'Antra diena'!$E$6:$E$90)+SUMIF('Trečia diena'!$B$6:$B$90,B50,'Trečia diena'!$E$6:$E$90))</x:f>
      </x:c>
      <x:c r="J50" s="83" t="str">
        <x:f>IF(B50="","",IF(G50=3,"3 dienos",IF(G50=2,"2 dienos","Tik 1 diena")))</x:f>
      </x:c>
    </x:row>
    <x:row r="51">
      <x:c r="A51" s="95" t="str">
        <x:f>IF(B51="","",1+COUNTIFS($H$6:$H$90,"&gt;0",$H$6:$H$90,"&lt;"&amp;H51)+COUNTIFS($H$6:$H$90,H51,$I$6:$I$90,"&gt;"&amp;I51))</x:f>
      </x:c>
      <x:c r="B51" s="83" t="str">
        <x:f>IF('Pirma diena'!B51="","",'Pirma diena'!B51)</x:f>
      </x:c>
      <x:c r="C51" s="83" t="str">
        <x:f>IF(B51="","",'Pirma diena'!C51)</x:f>
      </x:c>
      <x:c r="D51" s="98" t="str">
        <x:f>IF(B51="","",IF(COUNTIF('Pirma diena'!$B$6:$B$90,B51)=0,"",SUMIF('Pirma diena'!$B$6:$B$90,B51,'Pirma diena'!$G$6:$G$90)))</x:f>
      </x:c>
      <x:c r="E51" s="98" t="str">
        <x:f>IF(B51="","",IF(COUNTIF('Antra diena'!$B$6:$B$90,B51)=0,"",SUMIF('Antra diena'!$B$6:$B$90,B51,'Antra diena'!$G$6:$G$90)))</x:f>
      </x:c>
      <x:c r="F51" s="98" t="str">
        <x:f>IF(B51="","",IF(COUNTIF('Trečia diena'!$B$6:$B$90,B51)=0,"",SUMIF('Trečia diena'!$B$6:$B$90,B51,'Trečia diena'!$G$6:$G$90)))</x:f>
      </x:c>
      <x:c r="G51" s="98" t="str">
        <x:f>IF(B51="","",COUNT(D51:F51))</x:f>
      </x:c>
      <x:c r="H51" s="98" t="str">
        <x:f>IF(B51="","",SUM(D51:F51))</x:f>
      </x:c>
      <x:c r="I51" s="101" t="str">
        <x:f>IF(B51="","",SUMIF('Pirma diena'!$B$6:$B$90,B51,'Pirma diena'!$E$6:$E$90)+SUMIF('Antra diena'!$B$6:$B$90,B51,'Antra diena'!$E$6:$E$90)+SUMIF('Trečia diena'!$B$6:$B$90,B51,'Trečia diena'!$E$6:$E$90))</x:f>
      </x:c>
      <x:c r="J51" s="83" t="str">
        <x:f>IF(B51="","",IF(G51=3,"3 dienos",IF(G51=2,"2 dienos","Tik 1 diena")))</x:f>
      </x:c>
    </x:row>
    <x:row r="52">
      <x:c r="A52" s="95" t="str">
        <x:f>IF(B52="","",1+COUNTIFS($H$6:$H$90,"&gt;0",$H$6:$H$90,"&lt;"&amp;H52)+COUNTIFS($H$6:$H$90,H52,$I$6:$I$90,"&gt;"&amp;I52))</x:f>
      </x:c>
      <x:c r="B52" s="83" t="str">
        <x:f>IF('Pirma diena'!B52="","",'Pirma diena'!B52)</x:f>
      </x:c>
      <x:c r="C52" s="83" t="str">
        <x:f>IF(B52="","",'Pirma diena'!C52)</x:f>
      </x:c>
      <x:c r="D52" s="98" t="str">
        <x:f>IF(B52="","",IF(COUNTIF('Pirma diena'!$B$6:$B$90,B52)=0,"",SUMIF('Pirma diena'!$B$6:$B$90,B52,'Pirma diena'!$G$6:$G$90)))</x:f>
      </x:c>
      <x:c r="E52" s="98" t="str">
        <x:f>IF(B52="","",IF(COUNTIF('Antra diena'!$B$6:$B$90,B52)=0,"",SUMIF('Antra diena'!$B$6:$B$90,B52,'Antra diena'!$G$6:$G$90)))</x:f>
      </x:c>
      <x:c r="F52" s="98" t="str">
        <x:f>IF(B52="","",IF(COUNTIF('Trečia diena'!$B$6:$B$90,B52)=0,"",SUMIF('Trečia diena'!$B$6:$B$90,B52,'Trečia diena'!$G$6:$G$90)))</x:f>
      </x:c>
      <x:c r="G52" s="98" t="str">
        <x:f>IF(B52="","",COUNT(D52:F52))</x:f>
      </x:c>
      <x:c r="H52" s="98" t="str">
        <x:f>IF(B52="","",SUM(D52:F52))</x:f>
      </x:c>
      <x:c r="I52" s="101" t="str">
        <x:f>IF(B52="","",SUMIF('Pirma diena'!$B$6:$B$90,B52,'Pirma diena'!$E$6:$E$90)+SUMIF('Antra diena'!$B$6:$B$90,B52,'Antra diena'!$E$6:$E$90)+SUMIF('Trečia diena'!$B$6:$B$90,B52,'Trečia diena'!$E$6:$E$90))</x:f>
      </x:c>
      <x:c r="J52" s="83" t="str">
        <x:f>IF(B52="","",IF(G52=3,"3 dienos",IF(G52=2,"2 dienos","Tik 1 diena")))</x:f>
      </x:c>
    </x:row>
    <x:row r="53">
      <x:c r="A53" s="95" t="str">
        <x:f>IF(B53="","",1+COUNTIFS($H$6:$H$90,"&gt;0",$H$6:$H$90,"&lt;"&amp;H53)+COUNTIFS($H$6:$H$90,H53,$I$6:$I$90,"&gt;"&amp;I53))</x:f>
      </x:c>
      <x:c r="B53" s="83" t="str">
        <x:f>IF('Pirma diena'!B53="","",'Pirma diena'!B53)</x:f>
      </x:c>
      <x:c r="C53" s="83" t="str">
        <x:f>IF(B53="","",'Pirma diena'!C53)</x:f>
      </x:c>
      <x:c r="D53" s="98" t="str">
        <x:f>IF(B53="","",IF(COUNTIF('Pirma diena'!$B$6:$B$90,B53)=0,"",SUMIF('Pirma diena'!$B$6:$B$90,B53,'Pirma diena'!$G$6:$G$90)))</x:f>
      </x:c>
      <x:c r="E53" s="98" t="str">
        <x:f>IF(B53="","",IF(COUNTIF('Antra diena'!$B$6:$B$90,B53)=0,"",SUMIF('Antra diena'!$B$6:$B$90,B53,'Antra diena'!$G$6:$G$90)))</x:f>
      </x:c>
      <x:c r="F53" s="98" t="str">
        <x:f>IF(B53="","",IF(COUNTIF('Trečia diena'!$B$6:$B$90,B53)=0,"",SUMIF('Trečia diena'!$B$6:$B$90,B53,'Trečia diena'!$G$6:$G$90)))</x:f>
      </x:c>
      <x:c r="G53" s="98" t="str">
        <x:f>IF(B53="","",COUNT(D53:F53))</x:f>
      </x:c>
      <x:c r="H53" s="98" t="str">
        <x:f>IF(B53="","",SUM(D53:F53))</x:f>
      </x:c>
      <x:c r="I53" s="101" t="str">
        <x:f>IF(B53="","",SUMIF('Pirma diena'!$B$6:$B$90,B53,'Pirma diena'!$E$6:$E$90)+SUMIF('Antra diena'!$B$6:$B$90,B53,'Antra diena'!$E$6:$E$90)+SUMIF('Trečia diena'!$B$6:$B$90,B53,'Trečia diena'!$E$6:$E$90))</x:f>
      </x:c>
      <x:c r="J53" s="83" t="str">
        <x:f>IF(B53="","",IF(G53=3,"3 dienos",IF(G53=2,"2 dienos","Tik 1 diena")))</x:f>
      </x:c>
    </x:row>
    <x:row r="54">
      <x:c r="A54" s="95" t="str">
        <x:f>IF(B54="","",1+COUNTIFS($H$6:$H$90,"&gt;0",$H$6:$H$90,"&lt;"&amp;H54)+COUNTIFS($H$6:$H$90,H54,$I$6:$I$90,"&gt;"&amp;I54))</x:f>
      </x:c>
      <x:c r="B54" s="83" t="str">
        <x:f>IF('Pirma diena'!B54="","",'Pirma diena'!B54)</x:f>
      </x:c>
      <x:c r="C54" s="83" t="str">
        <x:f>IF(B54="","",'Pirma diena'!C54)</x:f>
      </x:c>
      <x:c r="D54" s="98" t="str">
        <x:f>IF(B54="","",IF(COUNTIF('Pirma diena'!$B$6:$B$90,B54)=0,"",SUMIF('Pirma diena'!$B$6:$B$90,B54,'Pirma diena'!$G$6:$G$90)))</x:f>
      </x:c>
      <x:c r="E54" s="98" t="str">
        <x:f>IF(B54="","",IF(COUNTIF('Antra diena'!$B$6:$B$90,B54)=0,"",SUMIF('Antra diena'!$B$6:$B$90,B54,'Antra diena'!$G$6:$G$90)))</x:f>
      </x:c>
      <x:c r="F54" s="98" t="str">
        <x:f>IF(B54="","",IF(COUNTIF('Trečia diena'!$B$6:$B$90,B54)=0,"",SUMIF('Trečia diena'!$B$6:$B$90,B54,'Trečia diena'!$G$6:$G$90)))</x:f>
      </x:c>
      <x:c r="G54" s="98" t="str">
        <x:f>IF(B54="","",COUNT(D54:F54))</x:f>
      </x:c>
      <x:c r="H54" s="98" t="str">
        <x:f>IF(B54="","",SUM(D54:F54))</x:f>
      </x:c>
      <x:c r="I54" s="101" t="str">
        <x:f>IF(B54="","",SUMIF('Pirma diena'!$B$6:$B$90,B54,'Pirma diena'!$E$6:$E$90)+SUMIF('Antra diena'!$B$6:$B$90,B54,'Antra diena'!$E$6:$E$90)+SUMIF('Trečia diena'!$B$6:$B$90,B54,'Trečia diena'!$E$6:$E$90))</x:f>
      </x:c>
      <x:c r="J54" s="83" t="str">
        <x:f>IF(B54="","",IF(G54=3,"3 dienos",IF(G54=2,"2 dienos","Tik 1 diena")))</x:f>
      </x:c>
    </x:row>
    <x:row r="55">
      <x:c r="A55" s="95" t="str">
        <x:f>IF(B55="","",1+COUNTIFS($H$6:$H$90,"&gt;0",$H$6:$H$90,"&lt;"&amp;H55)+COUNTIFS($H$6:$H$90,H55,$I$6:$I$90,"&gt;"&amp;I55))</x:f>
      </x:c>
      <x:c r="B55" s="83" t="str">
        <x:f>IF('Pirma diena'!B55="","",'Pirma diena'!B55)</x:f>
      </x:c>
      <x:c r="C55" s="83" t="str">
        <x:f>IF(B55="","",'Pirma diena'!C55)</x:f>
      </x:c>
      <x:c r="D55" s="98" t="str">
        <x:f>IF(B55="","",IF(COUNTIF('Pirma diena'!$B$6:$B$90,B55)=0,"",SUMIF('Pirma diena'!$B$6:$B$90,B55,'Pirma diena'!$G$6:$G$90)))</x:f>
      </x:c>
      <x:c r="E55" s="98" t="str">
        <x:f>IF(B55="","",IF(COUNTIF('Antra diena'!$B$6:$B$90,B55)=0,"",SUMIF('Antra diena'!$B$6:$B$90,B55,'Antra diena'!$G$6:$G$90)))</x:f>
      </x:c>
      <x:c r="F55" s="98" t="str">
        <x:f>IF(B55="","",IF(COUNTIF('Trečia diena'!$B$6:$B$90,B55)=0,"",SUMIF('Trečia diena'!$B$6:$B$90,B55,'Trečia diena'!$G$6:$G$90)))</x:f>
      </x:c>
      <x:c r="G55" s="98" t="str">
        <x:f>IF(B55="","",COUNT(D55:F55))</x:f>
      </x:c>
      <x:c r="H55" s="98" t="str">
        <x:f>IF(B55="","",SUM(D55:F55))</x:f>
      </x:c>
      <x:c r="I55" s="101" t="str">
        <x:f>IF(B55="","",SUMIF('Pirma diena'!$B$6:$B$90,B55,'Pirma diena'!$E$6:$E$90)+SUMIF('Antra diena'!$B$6:$B$90,B55,'Antra diena'!$E$6:$E$90)+SUMIF('Trečia diena'!$B$6:$B$90,B55,'Trečia diena'!$E$6:$E$90))</x:f>
      </x:c>
      <x:c r="J55" s="83" t="str">
        <x:f>IF(B55="","",IF(G55=3,"3 dienos",IF(G55=2,"2 dienos","Tik 1 diena")))</x:f>
      </x:c>
    </x:row>
    <x:row r="56">
      <x:c r="A56" s="95" t="str">
        <x:f>IF(B56="","",1+COUNTIFS($H$6:$H$90,"&gt;0",$H$6:$H$90,"&lt;"&amp;H56)+COUNTIFS($H$6:$H$90,H56,$I$6:$I$90,"&gt;"&amp;I56))</x:f>
      </x:c>
      <x:c r="B56" s="83" t="str">
        <x:f>IF('Pirma diena'!B56="","",'Pirma diena'!B56)</x:f>
      </x:c>
      <x:c r="C56" s="83" t="str">
        <x:f>IF(B56="","",'Pirma diena'!C56)</x:f>
      </x:c>
      <x:c r="D56" s="98" t="str">
        <x:f>IF(B56="","",IF(COUNTIF('Pirma diena'!$B$6:$B$90,B56)=0,"",SUMIF('Pirma diena'!$B$6:$B$90,B56,'Pirma diena'!$G$6:$G$90)))</x:f>
      </x:c>
      <x:c r="E56" s="98" t="str">
        <x:f>IF(B56="","",IF(COUNTIF('Antra diena'!$B$6:$B$90,B56)=0,"",SUMIF('Antra diena'!$B$6:$B$90,B56,'Antra diena'!$G$6:$G$90)))</x:f>
      </x:c>
      <x:c r="F56" s="98" t="str">
        <x:f>IF(B56="","",IF(COUNTIF('Trečia diena'!$B$6:$B$90,B56)=0,"",SUMIF('Trečia diena'!$B$6:$B$90,B56,'Trečia diena'!$G$6:$G$90)))</x:f>
      </x:c>
      <x:c r="G56" s="98" t="str">
        <x:f>IF(B56="","",COUNT(D56:F56))</x:f>
      </x:c>
      <x:c r="H56" s="98" t="str">
        <x:f>IF(B56="","",SUM(D56:F56))</x:f>
      </x:c>
      <x:c r="I56" s="101" t="str">
        <x:f>IF(B56="","",SUMIF('Pirma diena'!$B$6:$B$90,B56,'Pirma diena'!$E$6:$E$90)+SUMIF('Antra diena'!$B$6:$B$90,B56,'Antra diena'!$E$6:$E$90)+SUMIF('Trečia diena'!$B$6:$B$90,B56,'Trečia diena'!$E$6:$E$90))</x:f>
      </x:c>
      <x:c r="J56" s="83" t="str">
        <x:f>IF(B56="","",IF(G56=3,"3 dienos",IF(G56=2,"2 dienos","Tik 1 diena")))</x:f>
      </x:c>
    </x:row>
    <x:row r="57">
      <x:c r="A57" s="95" t="str">
        <x:f>IF(B57="","",1+COUNTIFS($H$6:$H$90,"&gt;0",$H$6:$H$90,"&lt;"&amp;H57)+COUNTIFS($H$6:$H$90,H57,$I$6:$I$90,"&gt;"&amp;I57))</x:f>
      </x:c>
      <x:c r="B57" s="83" t="str">
        <x:f>IF('Pirma diena'!B57="","",'Pirma diena'!B57)</x:f>
      </x:c>
      <x:c r="C57" s="83" t="str">
        <x:f>IF(B57="","",'Pirma diena'!C57)</x:f>
      </x:c>
      <x:c r="D57" s="98" t="str">
        <x:f>IF(B57="","",IF(COUNTIF('Pirma diena'!$B$6:$B$90,B57)=0,"",SUMIF('Pirma diena'!$B$6:$B$90,B57,'Pirma diena'!$G$6:$G$90)))</x:f>
      </x:c>
      <x:c r="E57" s="98" t="str">
        <x:f>IF(B57="","",IF(COUNTIF('Antra diena'!$B$6:$B$90,B57)=0,"",SUMIF('Antra diena'!$B$6:$B$90,B57,'Antra diena'!$G$6:$G$90)))</x:f>
      </x:c>
      <x:c r="F57" s="98" t="str">
        <x:f>IF(B57="","",IF(COUNTIF('Trečia diena'!$B$6:$B$90,B57)=0,"",SUMIF('Trečia diena'!$B$6:$B$90,B57,'Trečia diena'!$G$6:$G$90)))</x:f>
      </x:c>
      <x:c r="G57" s="98" t="str">
        <x:f>IF(B57="","",COUNT(D57:F57))</x:f>
      </x:c>
      <x:c r="H57" s="98" t="str">
        <x:f>IF(B57="","",SUM(D57:F57))</x:f>
      </x:c>
      <x:c r="I57" s="101" t="str">
        <x:f>IF(B57="","",SUMIF('Pirma diena'!$B$6:$B$90,B57,'Pirma diena'!$E$6:$E$90)+SUMIF('Antra diena'!$B$6:$B$90,B57,'Antra diena'!$E$6:$E$90)+SUMIF('Trečia diena'!$B$6:$B$90,B57,'Trečia diena'!$E$6:$E$90))</x:f>
      </x:c>
      <x:c r="J57" s="83" t="str">
        <x:f>IF(B57="","",IF(G57=3,"3 dienos",IF(G57=2,"2 dienos","Tik 1 diena")))</x:f>
      </x:c>
    </x:row>
    <x:row r="58">
      <x:c r="A58" s="95" t="str">
        <x:f>IF(B58="","",1+COUNTIFS($H$6:$H$90,"&gt;0",$H$6:$H$90,"&lt;"&amp;H58)+COUNTIFS($H$6:$H$90,H58,$I$6:$I$90,"&gt;"&amp;I58))</x:f>
      </x:c>
      <x:c r="B58" s="83" t="str">
        <x:f>IF('Pirma diena'!B58="","",'Pirma diena'!B58)</x:f>
      </x:c>
      <x:c r="C58" s="83" t="str">
        <x:f>IF(B58="","",'Pirma diena'!C58)</x:f>
      </x:c>
      <x:c r="D58" s="98" t="str">
        <x:f>IF(B58="","",IF(COUNTIF('Pirma diena'!$B$6:$B$90,B58)=0,"",SUMIF('Pirma diena'!$B$6:$B$90,B58,'Pirma diena'!$G$6:$G$90)))</x:f>
      </x:c>
      <x:c r="E58" s="98" t="str">
        <x:f>IF(B58="","",IF(COUNTIF('Antra diena'!$B$6:$B$90,B58)=0,"",SUMIF('Antra diena'!$B$6:$B$90,B58,'Antra diena'!$G$6:$G$90)))</x:f>
      </x:c>
      <x:c r="F58" s="98" t="str">
        <x:f>IF(B58="","",IF(COUNTIF('Trečia diena'!$B$6:$B$90,B58)=0,"",SUMIF('Trečia diena'!$B$6:$B$90,B58,'Trečia diena'!$G$6:$G$90)))</x:f>
      </x:c>
      <x:c r="G58" s="98" t="str">
        <x:f>IF(B58="","",COUNT(D58:F58))</x:f>
      </x:c>
      <x:c r="H58" s="98" t="str">
        <x:f>IF(B58="","",SUM(D58:F58))</x:f>
      </x:c>
      <x:c r="I58" s="101" t="str">
        <x:f>IF(B58="","",SUMIF('Pirma diena'!$B$6:$B$90,B58,'Pirma diena'!$E$6:$E$90)+SUMIF('Antra diena'!$B$6:$B$90,B58,'Antra diena'!$E$6:$E$90)+SUMIF('Trečia diena'!$B$6:$B$90,B58,'Trečia diena'!$E$6:$E$90))</x:f>
      </x:c>
      <x:c r="J58" s="83" t="str">
        <x:f>IF(B58="","",IF(G58=3,"3 dienos",IF(G58=2,"2 dienos","Tik 1 diena")))</x:f>
      </x:c>
    </x:row>
    <x:row r="59">
      <x:c r="A59" s="95" t="str">
        <x:f>IF(B59="","",1+COUNTIFS($H$6:$H$90,"&gt;0",$H$6:$H$90,"&lt;"&amp;H59)+COUNTIFS($H$6:$H$90,H59,$I$6:$I$90,"&gt;"&amp;I59))</x:f>
      </x:c>
      <x:c r="B59" s="83" t="str">
        <x:f>IF('Pirma diena'!B59="","",'Pirma diena'!B59)</x:f>
      </x:c>
      <x:c r="C59" s="83" t="str">
        <x:f>IF(B59="","",'Pirma diena'!C59)</x:f>
      </x:c>
      <x:c r="D59" s="98" t="str">
        <x:f>IF(B59="","",IF(COUNTIF('Pirma diena'!$B$6:$B$90,B59)=0,"",SUMIF('Pirma diena'!$B$6:$B$90,B59,'Pirma diena'!$G$6:$G$90)))</x:f>
      </x:c>
      <x:c r="E59" s="98" t="str">
        <x:f>IF(B59="","",IF(COUNTIF('Antra diena'!$B$6:$B$90,B59)=0,"",SUMIF('Antra diena'!$B$6:$B$90,B59,'Antra diena'!$G$6:$G$90)))</x:f>
      </x:c>
      <x:c r="F59" s="98" t="str">
        <x:f>IF(B59="","",IF(COUNTIF('Trečia diena'!$B$6:$B$90,B59)=0,"",SUMIF('Trečia diena'!$B$6:$B$90,B59,'Trečia diena'!$G$6:$G$90)))</x:f>
      </x:c>
      <x:c r="G59" s="98" t="str">
        <x:f>IF(B59="","",COUNT(D59:F59))</x:f>
      </x:c>
      <x:c r="H59" s="98" t="str">
        <x:f>IF(B59="","",SUM(D59:F59))</x:f>
      </x:c>
      <x:c r="I59" s="101" t="str">
        <x:f>IF(B59="","",SUMIF('Pirma diena'!$B$6:$B$90,B59,'Pirma diena'!$E$6:$E$90)+SUMIF('Antra diena'!$B$6:$B$90,B59,'Antra diena'!$E$6:$E$90)+SUMIF('Trečia diena'!$B$6:$B$90,B59,'Trečia diena'!$E$6:$E$90))</x:f>
      </x:c>
      <x:c r="J59" s="83" t="str">
        <x:f>IF(B59="","",IF(G59=3,"3 dienos",IF(G59=2,"2 dienos","Tik 1 diena")))</x:f>
      </x:c>
    </x:row>
    <x:row r="60">
      <x:c r="A60" s="95" t="str">
        <x:f>IF(B60="","",1+COUNTIFS($H$6:$H$90,"&gt;0",$H$6:$H$90,"&lt;"&amp;H60)+COUNTIFS($H$6:$H$90,H60,$I$6:$I$90,"&gt;"&amp;I60))</x:f>
      </x:c>
      <x:c r="B60" s="83" t="str">
        <x:f>IF('Pirma diena'!B60="","",'Pirma diena'!B60)</x:f>
      </x:c>
      <x:c r="C60" s="83" t="str">
        <x:f>IF(B60="","",'Pirma diena'!C60)</x:f>
      </x:c>
      <x:c r="D60" s="98" t="str">
        <x:f>IF(B60="","",IF(COUNTIF('Pirma diena'!$B$6:$B$90,B60)=0,"",SUMIF('Pirma diena'!$B$6:$B$90,B60,'Pirma diena'!$G$6:$G$90)))</x:f>
      </x:c>
      <x:c r="E60" s="98" t="str">
        <x:f>IF(B60="","",IF(COUNTIF('Antra diena'!$B$6:$B$90,B60)=0,"",SUMIF('Antra diena'!$B$6:$B$90,B60,'Antra diena'!$G$6:$G$90)))</x:f>
      </x:c>
      <x:c r="F60" s="98" t="str">
        <x:f>IF(B60="","",IF(COUNTIF('Trečia diena'!$B$6:$B$90,B60)=0,"",SUMIF('Trečia diena'!$B$6:$B$90,B60,'Trečia diena'!$G$6:$G$90)))</x:f>
      </x:c>
      <x:c r="G60" s="98" t="str">
        <x:f>IF(B60="","",COUNT(D60:F60))</x:f>
      </x:c>
      <x:c r="H60" s="98" t="str">
        <x:f>IF(B60="","",SUM(D60:F60))</x:f>
      </x:c>
      <x:c r="I60" s="101" t="str">
        <x:f>IF(B60="","",SUMIF('Pirma diena'!$B$6:$B$90,B60,'Pirma diena'!$E$6:$E$90)+SUMIF('Antra diena'!$B$6:$B$90,B60,'Antra diena'!$E$6:$E$90)+SUMIF('Trečia diena'!$B$6:$B$90,B60,'Trečia diena'!$E$6:$E$90))</x:f>
      </x:c>
      <x:c r="J60" s="83" t="str">
        <x:f>IF(B60="","",IF(G60=3,"3 dienos",IF(G60=2,"2 dienos","Tik 1 diena")))</x:f>
      </x:c>
    </x:row>
    <x:row r="61">
      <x:c r="A61" s="95" t="str">
        <x:f>IF(B61="","",1+COUNTIFS($H$6:$H$90,"&gt;0",$H$6:$H$90,"&lt;"&amp;H61)+COUNTIFS($H$6:$H$90,H61,$I$6:$I$90,"&gt;"&amp;I61))</x:f>
      </x:c>
      <x:c r="B61" s="83" t="str">
        <x:f>IF('Pirma diena'!B61="","",'Pirma diena'!B61)</x:f>
      </x:c>
      <x:c r="C61" s="83" t="str">
        <x:f>IF(B61="","",'Pirma diena'!C61)</x:f>
      </x:c>
      <x:c r="D61" s="98" t="str">
        <x:f>IF(B61="","",IF(COUNTIF('Pirma diena'!$B$6:$B$90,B61)=0,"",SUMIF('Pirma diena'!$B$6:$B$90,B61,'Pirma diena'!$G$6:$G$90)))</x:f>
      </x:c>
      <x:c r="E61" s="98" t="str">
        <x:f>IF(B61="","",IF(COUNTIF('Antra diena'!$B$6:$B$90,B61)=0,"",SUMIF('Antra diena'!$B$6:$B$90,B61,'Antra diena'!$G$6:$G$90)))</x:f>
      </x:c>
      <x:c r="F61" s="98" t="str">
        <x:f>IF(B61="","",IF(COUNTIF('Trečia diena'!$B$6:$B$90,B61)=0,"",SUMIF('Trečia diena'!$B$6:$B$90,B61,'Trečia diena'!$G$6:$G$90)))</x:f>
      </x:c>
      <x:c r="G61" s="98" t="str">
        <x:f>IF(B61="","",COUNT(D61:F61))</x:f>
      </x:c>
      <x:c r="H61" s="98" t="str">
        <x:f>IF(B61="","",SUM(D61:F61))</x:f>
      </x:c>
      <x:c r="I61" s="101" t="str">
        <x:f>IF(B61="","",SUMIF('Pirma diena'!$B$6:$B$90,B61,'Pirma diena'!$E$6:$E$90)+SUMIF('Antra diena'!$B$6:$B$90,B61,'Antra diena'!$E$6:$E$90)+SUMIF('Trečia diena'!$B$6:$B$90,B61,'Trečia diena'!$E$6:$E$90))</x:f>
      </x:c>
      <x:c r="J61" s="83" t="str">
        <x:f>IF(B61="","",IF(G61=3,"3 dienos",IF(G61=2,"2 dienos","Tik 1 diena")))</x:f>
      </x:c>
    </x:row>
    <x:row r="62">
      <x:c r="A62" s="95" t="str">
        <x:f>IF(B62="","",1+COUNTIFS($H$6:$H$90,"&gt;0",$H$6:$H$90,"&lt;"&amp;H62)+COUNTIFS($H$6:$H$90,H62,$I$6:$I$90,"&gt;"&amp;I62))</x:f>
      </x:c>
      <x:c r="B62" s="83" t="str">
        <x:f>IF('Pirma diena'!B62="","",'Pirma diena'!B62)</x:f>
      </x:c>
      <x:c r="C62" s="83" t="str">
        <x:f>IF(B62="","",'Pirma diena'!C62)</x:f>
      </x:c>
      <x:c r="D62" s="98" t="str">
        <x:f>IF(B62="","",IF(COUNTIF('Pirma diena'!$B$6:$B$90,B62)=0,"",SUMIF('Pirma diena'!$B$6:$B$90,B62,'Pirma diena'!$G$6:$G$90)))</x:f>
      </x:c>
      <x:c r="E62" s="98" t="str">
        <x:f>IF(B62="","",IF(COUNTIF('Antra diena'!$B$6:$B$90,B62)=0,"",SUMIF('Antra diena'!$B$6:$B$90,B62,'Antra diena'!$G$6:$G$90)))</x:f>
      </x:c>
      <x:c r="F62" s="98" t="str">
        <x:f>IF(B62="","",IF(COUNTIF('Trečia diena'!$B$6:$B$90,B62)=0,"",SUMIF('Trečia diena'!$B$6:$B$90,B62,'Trečia diena'!$G$6:$G$90)))</x:f>
      </x:c>
      <x:c r="G62" s="98" t="str">
        <x:f>IF(B62="","",COUNT(D62:F62))</x:f>
      </x:c>
      <x:c r="H62" s="98" t="str">
        <x:f>IF(B62="","",SUM(D62:F62))</x:f>
      </x:c>
      <x:c r="I62" s="101" t="str">
        <x:f>IF(B62="","",SUMIF('Pirma diena'!$B$6:$B$90,B62,'Pirma diena'!$E$6:$E$90)+SUMIF('Antra diena'!$B$6:$B$90,B62,'Antra diena'!$E$6:$E$90)+SUMIF('Trečia diena'!$B$6:$B$90,B62,'Trečia diena'!$E$6:$E$90))</x:f>
      </x:c>
      <x:c r="J62" s="83" t="str">
        <x:f>IF(B62="","",IF(G62=3,"3 dienos",IF(G62=2,"2 dienos","Tik 1 diena")))</x:f>
      </x:c>
    </x:row>
    <x:row r="63">
      <x:c r="A63" s="95" t="str">
        <x:f>IF(B63="","",1+COUNTIFS($H$6:$H$90,"&gt;0",$H$6:$H$90,"&lt;"&amp;H63)+COUNTIFS($H$6:$H$90,H63,$I$6:$I$90,"&gt;"&amp;I63))</x:f>
      </x:c>
      <x:c r="B63" s="83" t="str">
        <x:f>IF('Pirma diena'!B63="","",'Pirma diena'!B63)</x:f>
      </x:c>
      <x:c r="C63" s="83" t="str">
        <x:f>IF(B63="","",'Pirma diena'!C63)</x:f>
      </x:c>
      <x:c r="D63" s="98" t="str">
        <x:f>IF(B63="","",IF(COUNTIF('Pirma diena'!$B$6:$B$90,B63)=0,"",SUMIF('Pirma diena'!$B$6:$B$90,B63,'Pirma diena'!$G$6:$G$90)))</x:f>
      </x:c>
      <x:c r="E63" s="98" t="str">
        <x:f>IF(B63="","",IF(COUNTIF('Antra diena'!$B$6:$B$90,B63)=0,"",SUMIF('Antra diena'!$B$6:$B$90,B63,'Antra diena'!$G$6:$G$90)))</x:f>
      </x:c>
      <x:c r="F63" s="98" t="str">
        <x:f>IF(B63="","",IF(COUNTIF('Trečia diena'!$B$6:$B$90,B63)=0,"",SUMIF('Trečia diena'!$B$6:$B$90,B63,'Trečia diena'!$G$6:$G$90)))</x:f>
      </x:c>
      <x:c r="G63" s="98" t="str">
        <x:f>IF(B63="","",COUNT(D63:F63))</x:f>
      </x:c>
      <x:c r="H63" s="98" t="str">
        <x:f>IF(B63="","",SUM(D63:F63))</x:f>
      </x:c>
      <x:c r="I63" s="101" t="str">
        <x:f>IF(B63="","",SUMIF('Pirma diena'!$B$6:$B$90,B63,'Pirma diena'!$E$6:$E$90)+SUMIF('Antra diena'!$B$6:$B$90,B63,'Antra diena'!$E$6:$E$90)+SUMIF('Trečia diena'!$B$6:$B$90,B63,'Trečia diena'!$E$6:$E$90))</x:f>
      </x:c>
      <x:c r="J63" s="83" t="str">
        <x:f>IF(B63="","",IF(G63=3,"3 dienos",IF(G63=2,"2 dienos","Tik 1 diena")))</x:f>
      </x:c>
    </x:row>
    <x:row r="64">
      <x:c r="A64" s="95" t="str">
        <x:f>IF(B64="","",1+COUNTIFS($H$6:$H$90,"&gt;0",$H$6:$H$90,"&lt;"&amp;H64)+COUNTIFS($H$6:$H$90,H64,$I$6:$I$90,"&gt;"&amp;I64))</x:f>
      </x:c>
      <x:c r="B64" s="83" t="str">
        <x:f>IF('Pirma diena'!B64="","",'Pirma diena'!B64)</x:f>
      </x:c>
      <x:c r="C64" s="83" t="str">
        <x:f>IF(B64="","",'Pirma diena'!C64)</x:f>
      </x:c>
      <x:c r="D64" s="98" t="str">
        <x:f>IF(B64="","",IF(COUNTIF('Pirma diena'!$B$6:$B$90,B64)=0,"",SUMIF('Pirma diena'!$B$6:$B$90,B64,'Pirma diena'!$G$6:$G$90)))</x:f>
      </x:c>
      <x:c r="E64" s="98" t="str">
        <x:f>IF(B64="","",IF(COUNTIF('Antra diena'!$B$6:$B$90,B64)=0,"",SUMIF('Antra diena'!$B$6:$B$90,B64,'Antra diena'!$G$6:$G$90)))</x:f>
      </x:c>
      <x:c r="F64" s="98" t="str">
        <x:f>IF(B64="","",IF(COUNTIF('Trečia diena'!$B$6:$B$90,B64)=0,"",SUMIF('Trečia diena'!$B$6:$B$90,B64,'Trečia diena'!$G$6:$G$90)))</x:f>
      </x:c>
      <x:c r="G64" s="98" t="str">
        <x:f>IF(B64="","",COUNT(D64:F64))</x:f>
      </x:c>
      <x:c r="H64" s="98" t="str">
        <x:f>IF(B64="","",SUM(D64:F64))</x:f>
      </x:c>
      <x:c r="I64" s="101" t="str">
        <x:f>IF(B64="","",SUMIF('Pirma diena'!$B$6:$B$90,B64,'Pirma diena'!$E$6:$E$90)+SUMIF('Antra diena'!$B$6:$B$90,B64,'Antra diena'!$E$6:$E$90)+SUMIF('Trečia diena'!$B$6:$B$90,B64,'Trečia diena'!$E$6:$E$90))</x:f>
      </x:c>
      <x:c r="J64" s="83" t="str">
        <x:f>IF(B64="","",IF(G64=3,"3 dienos",IF(G64=2,"2 dienos","Tik 1 diena")))</x:f>
      </x:c>
    </x:row>
    <x:row r="65">
      <x:c r="A65" s="95" t="str">
        <x:f>IF(B65="","",1+COUNTIFS($H$6:$H$90,"&gt;0",$H$6:$H$90,"&lt;"&amp;H65)+COUNTIFS($H$6:$H$90,H65,$I$6:$I$90,"&gt;"&amp;I65))</x:f>
      </x:c>
      <x:c r="B65" s="83" t="str">
        <x:f>IF('Pirma diena'!B65="","",'Pirma diena'!B65)</x:f>
      </x:c>
      <x:c r="C65" s="83" t="str">
        <x:f>IF(B65="","",'Pirma diena'!C65)</x:f>
      </x:c>
      <x:c r="D65" s="98" t="str">
        <x:f>IF(B65="","",IF(COUNTIF('Pirma diena'!$B$6:$B$90,B65)=0,"",SUMIF('Pirma diena'!$B$6:$B$90,B65,'Pirma diena'!$G$6:$G$90)))</x:f>
      </x:c>
      <x:c r="E65" s="98" t="str">
        <x:f>IF(B65="","",IF(COUNTIF('Antra diena'!$B$6:$B$90,B65)=0,"",SUMIF('Antra diena'!$B$6:$B$90,B65,'Antra diena'!$G$6:$G$90)))</x:f>
      </x:c>
      <x:c r="F65" s="98" t="str">
        <x:f>IF(B65="","",IF(COUNTIF('Trečia diena'!$B$6:$B$90,B65)=0,"",SUMIF('Trečia diena'!$B$6:$B$90,B65,'Trečia diena'!$G$6:$G$90)))</x:f>
      </x:c>
      <x:c r="G65" s="98" t="str">
        <x:f>IF(B65="","",COUNT(D65:F65))</x:f>
      </x:c>
      <x:c r="H65" s="98" t="str">
        <x:f>IF(B65="","",SUM(D65:F65))</x:f>
      </x:c>
      <x:c r="I65" s="101" t="str">
        <x:f>IF(B65="","",SUMIF('Pirma diena'!$B$6:$B$90,B65,'Pirma diena'!$E$6:$E$90)+SUMIF('Antra diena'!$B$6:$B$90,B65,'Antra diena'!$E$6:$E$90)+SUMIF('Trečia diena'!$B$6:$B$90,B65,'Trečia diena'!$E$6:$E$90))</x:f>
      </x:c>
      <x:c r="J65" s="83" t="str">
        <x:f>IF(B65="","",IF(G65=3,"3 dienos",IF(G65=2,"2 dienos","Tik 1 diena")))</x:f>
      </x:c>
    </x:row>
    <x:row r="66">
      <x:c r="A66" s="95" t="str">
        <x:f>IF(B66="","",1+COUNTIFS($H$6:$H$90,"&gt;0",$H$6:$H$90,"&lt;"&amp;H66)+COUNTIFS($H$6:$H$90,H66,$I$6:$I$90,"&gt;"&amp;I66))</x:f>
      </x:c>
      <x:c r="B66" s="83" t="str">
        <x:f>IF('Pirma diena'!B66="","",'Pirma diena'!B66)</x:f>
      </x:c>
      <x:c r="C66" s="83" t="str">
        <x:f>IF(B66="","",'Pirma diena'!C66)</x:f>
      </x:c>
      <x:c r="D66" s="98" t="str">
        <x:f>IF(B66="","",IF(COUNTIF('Pirma diena'!$B$6:$B$90,B66)=0,"",SUMIF('Pirma diena'!$B$6:$B$90,B66,'Pirma diena'!$G$6:$G$90)))</x:f>
      </x:c>
      <x:c r="E66" s="98" t="str">
        <x:f>IF(B66="","",IF(COUNTIF('Antra diena'!$B$6:$B$90,B66)=0,"",SUMIF('Antra diena'!$B$6:$B$90,B66,'Antra diena'!$G$6:$G$90)))</x:f>
      </x:c>
      <x:c r="F66" s="98" t="str">
        <x:f>IF(B66="","",IF(COUNTIF('Trečia diena'!$B$6:$B$90,B66)=0,"",SUMIF('Trečia diena'!$B$6:$B$90,B66,'Trečia diena'!$G$6:$G$90)))</x:f>
      </x:c>
      <x:c r="G66" s="98" t="str">
        <x:f>IF(B66="","",COUNT(D66:F66))</x:f>
      </x:c>
      <x:c r="H66" s="98" t="str">
        <x:f>IF(B66="","",SUM(D66:F66))</x:f>
      </x:c>
      <x:c r="I66" s="101" t="str">
        <x:f>IF(B66="","",SUMIF('Pirma diena'!$B$6:$B$90,B66,'Pirma diena'!$E$6:$E$90)+SUMIF('Antra diena'!$B$6:$B$90,B66,'Antra diena'!$E$6:$E$90)+SUMIF('Trečia diena'!$B$6:$B$90,B66,'Trečia diena'!$E$6:$E$90))</x:f>
      </x:c>
      <x:c r="J66" s="83" t="str">
        <x:f>IF(B66="","",IF(G66=3,"3 dienos",IF(G66=2,"2 dienos","Tik 1 diena")))</x:f>
      </x:c>
    </x:row>
    <x:row r="67">
      <x:c r="A67" s="95" t="str">
        <x:f>IF(B67="","",1+COUNTIFS($H$6:$H$90,"&gt;0",$H$6:$H$90,"&lt;"&amp;H67)+COUNTIFS($H$6:$H$90,H67,$I$6:$I$90,"&gt;"&amp;I67))</x:f>
      </x:c>
      <x:c r="B67" s="83" t="str">
        <x:f>IF('Pirma diena'!B67="","",'Pirma diena'!B67)</x:f>
      </x:c>
      <x:c r="C67" s="83" t="str">
        <x:f>IF(B67="","",'Pirma diena'!C67)</x:f>
      </x:c>
      <x:c r="D67" s="98" t="str">
        <x:f>IF(B67="","",IF(COUNTIF('Pirma diena'!$B$6:$B$90,B67)=0,"",SUMIF('Pirma diena'!$B$6:$B$90,B67,'Pirma diena'!$G$6:$G$90)))</x:f>
      </x:c>
      <x:c r="E67" s="98" t="str">
        <x:f>IF(B67="","",IF(COUNTIF('Antra diena'!$B$6:$B$90,B67)=0,"",SUMIF('Antra diena'!$B$6:$B$90,B67,'Antra diena'!$G$6:$G$90)))</x:f>
      </x:c>
      <x:c r="F67" s="98" t="str">
        <x:f>IF(B67="","",IF(COUNTIF('Trečia diena'!$B$6:$B$90,B67)=0,"",SUMIF('Trečia diena'!$B$6:$B$90,B67,'Trečia diena'!$G$6:$G$90)))</x:f>
      </x:c>
      <x:c r="G67" s="98" t="str">
        <x:f>IF(B67="","",COUNT(D67:F67))</x:f>
      </x:c>
      <x:c r="H67" s="98" t="str">
        <x:f>IF(B67="","",SUM(D67:F67))</x:f>
      </x:c>
      <x:c r="I67" s="101" t="str">
        <x:f>IF(B67="","",SUMIF('Pirma diena'!$B$6:$B$90,B67,'Pirma diena'!$E$6:$E$90)+SUMIF('Antra diena'!$B$6:$B$90,B67,'Antra diena'!$E$6:$E$90)+SUMIF('Trečia diena'!$B$6:$B$90,B67,'Trečia diena'!$E$6:$E$90))</x:f>
      </x:c>
      <x:c r="J67" s="83" t="str">
        <x:f>IF(B67="","",IF(G67=3,"3 dienos",IF(G67=2,"2 dienos","Tik 1 diena")))</x:f>
      </x:c>
    </x:row>
    <x:row r="68">
      <x:c r="A68" s="95" t="str">
        <x:f>IF(B68="","",1+COUNTIFS($H$6:$H$90,"&gt;0",$H$6:$H$90,"&lt;"&amp;H68)+COUNTIFS($H$6:$H$90,H68,$I$6:$I$90,"&gt;"&amp;I68))</x:f>
      </x:c>
      <x:c r="B68" s="83" t="str">
        <x:f>IF('Pirma diena'!B68="","",'Pirma diena'!B68)</x:f>
      </x:c>
      <x:c r="C68" s="83" t="str">
        <x:f>IF(B68="","",'Pirma diena'!C68)</x:f>
      </x:c>
      <x:c r="D68" s="98" t="str">
        <x:f>IF(B68="","",IF(COUNTIF('Pirma diena'!$B$6:$B$90,B68)=0,"",SUMIF('Pirma diena'!$B$6:$B$90,B68,'Pirma diena'!$G$6:$G$90)))</x:f>
      </x:c>
      <x:c r="E68" s="98" t="str">
        <x:f>IF(B68="","",IF(COUNTIF('Antra diena'!$B$6:$B$90,B68)=0,"",SUMIF('Antra diena'!$B$6:$B$90,B68,'Antra diena'!$G$6:$G$90)))</x:f>
      </x:c>
      <x:c r="F68" s="98" t="str">
        <x:f>IF(B68="","",IF(COUNTIF('Trečia diena'!$B$6:$B$90,B68)=0,"",SUMIF('Trečia diena'!$B$6:$B$90,B68,'Trečia diena'!$G$6:$G$90)))</x:f>
      </x:c>
      <x:c r="G68" s="98" t="str">
        <x:f>IF(B68="","",COUNT(D68:F68))</x:f>
      </x:c>
      <x:c r="H68" s="98" t="str">
        <x:f>IF(B68="","",SUM(D68:F68))</x:f>
      </x:c>
      <x:c r="I68" s="101" t="str">
        <x:f>IF(B68="","",SUMIF('Pirma diena'!$B$6:$B$90,B68,'Pirma diena'!$E$6:$E$90)+SUMIF('Antra diena'!$B$6:$B$90,B68,'Antra diena'!$E$6:$E$90)+SUMIF('Trečia diena'!$B$6:$B$90,B68,'Trečia diena'!$E$6:$E$90))</x:f>
      </x:c>
      <x:c r="J68" s="83" t="str">
        <x:f>IF(B68="","",IF(G68=3,"3 dienos",IF(G68=2,"2 dienos","Tik 1 diena")))</x:f>
      </x:c>
    </x:row>
    <x:row r="69">
      <x:c r="A69" s="95" t="str">
        <x:f>IF(B69="","",1+COUNTIFS($H$6:$H$90,"&gt;0",$H$6:$H$90,"&lt;"&amp;H69)+COUNTIFS($H$6:$H$90,H69,$I$6:$I$90,"&gt;"&amp;I69))</x:f>
      </x:c>
      <x:c r="B69" s="83" t="str">
        <x:f>IF('Pirma diena'!B69="","",'Pirma diena'!B69)</x:f>
      </x:c>
      <x:c r="C69" s="83" t="str">
        <x:f>IF(B69="","",'Pirma diena'!C69)</x:f>
      </x:c>
      <x:c r="D69" s="98" t="str">
        <x:f>IF(B69="","",IF(COUNTIF('Pirma diena'!$B$6:$B$90,B69)=0,"",SUMIF('Pirma diena'!$B$6:$B$90,B69,'Pirma diena'!$G$6:$G$90)))</x:f>
      </x:c>
      <x:c r="E69" s="98" t="str">
        <x:f>IF(B69="","",IF(COUNTIF('Antra diena'!$B$6:$B$90,B69)=0,"",SUMIF('Antra diena'!$B$6:$B$90,B69,'Antra diena'!$G$6:$G$90)))</x:f>
      </x:c>
      <x:c r="F69" s="98" t="str">
        <x:f>IF(B69="","",IF(COUNTIF('Trečia diena'!$B$6:$B$90,B69)=0,"",SUMIF('Trečia diena'!$B$6:$B$90,B69,'Trečia diena'!$G$6:$G$90)))</x:f>
      </x:c>
      <x:c r="G69" s="98" t="str">
        <x:f>IF(B69="","",COUNT(D69:F69))</x:f>
      </x:c>
      <x:c r="H69" s="98" t="str">
        <x:f>IF(B69="","",SUM(D69:F69))</x:f>
      </x:c>
      <x:c r="I69" s="101" t="str">
        <x:f>IF(B69="","",SUMIF('Pirma diena'!$B$6:$B$90,B69,'Pirma diena'!$E$6:$E$90)+SUMIF('Antra diena'!$B$6:$B$90,B69,'Antra diena'!$E$6:$E$90)+SUMIF('Trečia diena'!$B$6:$B$90,B69,'Trečia diena'!$E$6:$E$90))</x:f>
      </x:c>
      <x:c r="J69" s="83" t="str">
        <x:f>IF(B69="","",IF(G69=3,"3 dienos",IF(G69=2,"2 dienos","Tik 1 diena")))</x:f>
      </x:c>
    </x:row>
    <x:row r="70">
      <x:c r="A70" s="95" t="str">
        <x:f>IF(B70="","",1+COUNTIFS($H$6:$H$90,"&gt;0",$H$6:$H$90,"&lt;"&amp;H70)+COUNTIFS($H$6:$H$90,H70,$I$6:$I$90,"&gt;"&amp;I70))</x:f>
      </x:c>
      <x:c r="B70" s="83" t="str">
        <x:f>IF('Pirma diena'!B70="","",'Pirma diena'!B70)</x:f>
      </x:c>
      <x:c r="C70" s="83" t="str">
        <x:f>IF(B70="","",'Pirma diena'!C70)</x:f>
      </x:c>
      <x:c r="D70" s="98" t="str">
        <x:f>IF(B70="","",IF(COUNTIF('Pirma diena'!$B$6:$B$90,B70)=0,"",SUMIF('Pirma diena'!$B$6:$B$90,B70,'Pirma diena'!$G$6:$G$90)))</x:f>
      </x:c>
      <x:c r="E70" s="98" t="str">
        <x:f>IF(B70="","",IF(COUNTIF('Antra diena'!$B$6:$B$90,B70)=0,"",SUMIF('Antra diena'!$B$6:$B$90,B70,'Antra diena'!$G$6:$G$90)))</x:f>
      </x:c>
      <x:c r="F70" s="98" t="str">
        <x:f>IF(B70="","",IF(COUNTIF('Trečia diena'!$B$6:$B$90,B70)=0,"",SUMIF('Trečia diena'!$B$6:$B$90,B70,'Trečia diena'!$G$6:$G$90)))</x:f>
      </x:c>
      <x:c r="G70" s="98" t="str">
        <x:f>IF(B70="","",COUNT(D70:F70))</x:f>
      </x:c>
      <x:c r="H70" s="98" t="str">
        <x:f>IF(B70="","",SUM(D70:F70))</x:f>
      </x:c>
      <x:c r="I70" s="101" t="str">
        <x:f>IF(B70="","",SUMIF('Pirma diena'!$B$6:$B$90,B70,'Pirma diena'!$E$6:$E$90)+SUMIF('Antra diena'!$B$6:$B$90,B70,'Antra diena'!$E$6:$E$90)+SUMIF('Trečia diena'!$B$6:$B$90,B70,'Trečia diena'!$E$6:$E$90))</x:f>
      </x:c>
      <x:c r="J70" s="83" t="str">
        <x:f>IF(B70="","",IF(G70=3,"3 dienos",IF(G70=2,"2 dienos","Tik 1 diena")))</x:f>
      </x:c>
    </x:row>
    <x:row r="71">
      <x:c r="A71" s="95" t="str">
        <x:f>IF(B71="","",1+COUNTIFS($H$6:$H$90,"&gt;0",$H$6:$H$90,"&lt;"&amp;H71)+COUNTIFS($H$6:$H$90,H71,$I$6:$I$90,"&gt;"&amp;I71))</x:f>
      </x:c>
      <x:c r="B71" s="83" t="str">
        <x:f>IF('Pirma diena'!B71="","",'Pirma diena'!B71)</x:f>
      </x:c>
      <x:c r="C71" s="83" t="str">
        <x:f>IF(B71="","",'Pirma diena'!C71)</x:f>
      </x:c>
      <x:c r="D71" s="98" t="str">
        <x:f>IF(B71="","",IF(COUNTIF('Pirma diena'!$B$6:$B$90,B71)=0,"",SUMIF('Pirma diena'!$B$6:$B$90,B71,'Pirma diena'!$G$6:$G$90)))</x:f>
      </x:c>
      <x:c r="E71" s="98" t="str">
        <x:f>IF(B71="","",IF(COUNTIF('Antra diena'!$B$6:$B$90,B71)=0,"",SUMIF('Antra diena'!$B$6:$B$90,B71,'Antra diena'!$G$6:$G$90)))</x:f>
      </x:c>
      <x:c r="F71" s="98" t="str">
        <x:f>IF(B71="","",IF(COUNTIF('Trečia diena'!$B$6:$B$90,B71)=0,"",SUMIF('Trečia diena'!$B$6:$B$90,B71,'Trečia diena'!$G$6:$G$90)))</x:f>
      </x:c>
      <x:c r="G71" s="98" t="str">
        <x:f>IF(B71="","",COUNT(D71:F71))</x:f>
      </x:c>
      <x:c r="H71" s="98" t="str">
        <x:f>IF(B71="","",SUM(D71:F71))</x:f>
      </x:c>
      <x:c r="I71" s="101" t="str">
        <x:f>IF(B71="","",SUMIF('Pirma diena'!$B$6:$B$90,B71,'Pirma diena'!$E$6:$E$90)+SUMIF('Antra diena'!$B$6:$B$90,B71,'Antra diena'!$E$6:$E$90)+SUMIF('Trečia diena'!$B$6:$B$90,B71,'Trečia diena'!$E$6:$E$90))</x:f>
      </x:c>
      <x:c r="J71" s="83" t="str">
        <x:f>IF(B71="","",IF(G71=3,"3 dienos",IF(G71=2,"2 dienos","Tik 1 diena")))</x:f>
      </x:c>
    </x:row>
    <x:row r="72">
      <x:c r="A72" s="95" t="str">
        <x:f>IF(B72="","",1+COUNTIFS($H$6:$H$90,"&gt;0",$H$6:$H$90,"&lt;"&amp;H72)+COUNTIFS($H$6:$H$90,H72,$I$6:$I$90,"&gt;"&amp;I72))</x:f>
      </x:c>
      <x:c r="B72" s="83" t="str">
        <x:f>IF('Pirma diena'!B72="","",'Pirma diena'!B72)</x:f>
      </x:c>
      <x:c r="C72" s="83" t="str">
        <x:f>IF(B72="","",'Pirma diena'!C72)</x:f>
      </x:c>
      <x:c r="D72" s="98" t="str">
        <x:f>IF(B72="","",IF(COUNTIF('Pirma diena'!$B$6:$B$90,B72)=0,"",SUMIF('Pirma diena'!$B$6:$B$90,B72,'Pirma diena'!$G$6:$G$90)))</x:f>
      </x:c>
      <x:c r="E72" s="98" t="str">
        <x:f>IF(B72="","",IF(COUNTIF('Antra diena'!$B$6:$B$90,B72)=0,"",SUMIF('Antra diena'!$B$6:$B$90,B72,'Antra diena'!$G$6:$G$90)))</x:f>
      </x:c>
      <x:c r="F72" s="98" t="str">
        <x:f>IF(B72="","",IF(COUNTIF('Trečia diena'!$B$6:$B$90,B72)=0,"",SUMIF('Trečia diena'!$B$6:$B$90,B72,'Trečia diena'!$G$6:$G$90)))</x:f>
      </x:c>
      <x:c r="G72" s="98" t="str">
        <x:f>IF(B72="","",COUNT(D72:F72))</x:f>
      </x:c>
      <x:c r="H72" s="98" t="str">
        <x:f>IF(B72="","",SUM(D72:F72))</x:f>
      </x:c>
      <x:c r="I72" s="101" t="str">
        <x:f>IF(B72="","",SUMIF('Pirma diena'!$B$6:$B$90,B72,'Pirma diena'!$E$6:$E$90)+SUMIF('Antra diena'!$B$6:$B$90,B72,'Antra diena'!$E$6:$E$90)+SUMIF('Trečia diena'!$B$6:$B$90,B72,'Trečia diena'!$E$6:$E$90))</x:f>
      </x:c>
      <x:c r="J72" s="83" t="str">
        <x:f>IF(B72="","",IF(G72=3,"3 dienos",IF(G72=2,"2 dienos","Tik 1 diena")))</x:f>
      </x:c>
    </x:row>
    <x:row r="73">
      <x:c r="A73" s="95" t="str">
        <x:f>IF(B73="","",1+COUNTIFS($H$6:$H$90,"&gt;0",$H$6:$H$90,"&lt;"&amp;H73)+COUNTIFS($H$6:$H$90,H73,$I$6:$I$90,"&gt;"&amp;I73))</x:f>
      </x:c>
      <x:c r="B73" s="83" t="str">
        <x:f>IF('Pirma diena'!B73="","",'Pirma diena'!B73)</x:f>
      </x:c>
      <x:c r="C73" s="83" t="str">
        <x:f>IF(B73="","",'Pirma diena'!C73)</x:f>
      </x:c>
      <x:c r="D73" s="98" t="str">
        <x:f>IF(B73="","",IF(COUNTIF('Pirma diena'!$B$6:$B$90,B73)=0,"",SUMIF('Pirma diena'!$B$6:$B$90,B73,'Pirma diena'!$G$6:$G$90)))</x:f>
      </x:c>
      <x:c r="E73" s="98" t="str">
        <x:f>IF(B73="","",IF(COUNTIF('Antra diena'!$B$6:$B$90,B73)=0,"",SUMIF('Antra diena'!$B$6:$B$90,B73,'Antra diena'!$G$6:$G$90)))</x:f>
      </x:c>
      <x:c r="F73" s="98" t="str">
        <x:f>IF(B73="","",IF(COUNTIF('Trečia diena'!$B$6:$B$90,B73)=0,"",SUMIF('Trečia diena'!$B$6:$B$90,B73,'Trečia diena'!$G$6:$G$90)))</x:f>
      </x:c>
      <x:c r="G73" s="98" t="str">
        <x:f>IF(B73="","",COUNT(D73:F73))</x:f>
      </x:c>
      <x:c r="H73" s="98" t="str">
        <x:f>IF(B73="","",SUM(D73:F73))</x:f>
      </x:c>
      <x:c r="I73" s="101" t="str">
        <x:f>IF(B73="","",SUMIF('Pirma diena'!$B$6:$B$90,B73,'Pirma diena'!$E$6:$E$90)+SUMIF('Antra diena'!$B$6:$B$90,B73,'Antra diena'!$E$6:$E$90)+SUMIF('Trečia diena'!$B$6:$B$90,B73,'Trečia diena'!$E$6:$E$90))</x:f>
      </x:c>
      <x:c r="J73" s="83" t="str">
        <x:f>IF(B73="","",IF(G73=3,"3 dienos",IF(G73=2,"2 dienos","Tik 1 diena")))</x:f>
      </x:c>
    </x:row>
    <x:row r="74">
      <x:c r="A74" s="95" t="str">
        <x:f>IF(B74="","",1+COUNTIFS($H$6:$H$90,"&gt;0",$H$6:$H$90,"&lt;"&amp;H74)+COUNTIFS($H$6:$H$90,H74,$I$6:$I$90,"&gt;"&amp;I74))</x:f>
      </x:c>
      <x:c r="B74" s="83" t="str">
        <x:f>IF('Pirma diena'!B74="","",'Pirma diena'!B74)</x:f>
      </x:c>
      <x:c r="C74" s="83" t="str">
        <x:f>IF(B74="","",'Pirma diena'!C74)</x:f>
      </x:c>
      <x:c r="D74" s="98" t="str">
        <x:f>IF(B74="","",IF(COUNTIF('Pirma diena'!$B$6:$B$90,B74)=0,"",SUMIF('Pirma diena'!$B$6:$B$90,B74,'Pirma diena'!$G$6:$G$90)))</x:f>
      </x:c>
      <x:c r="E74" s="98" t="str">
        <x:f>IF(B74="","",IF(COUNTIF('Antra diena'!$B$6:$B$90,B74)=0,"",SUMIF('Antra diena'!$B$6:$B$90,B74,'Antra diena'!$G$6:$G$90)))</x:f>
      </x:c>
      <x:c r="F74" s="98" t="str">
        <x:f>IF(B74="","",IF(COUNTIF('Trečia diena'!$B$6:$B$90,B74)=0,"",SUMIF('Trečia diena'!$B$6:$B$90,B74,'Trečia diena'!$G$6:$G$90)))</x:f>
      </x:c>
      <x:c r="G74" s="98" t="str">
        <x:f>IF(B74="","",COUNT(D74:F74))</x:f>
      </x:c>
      <x:c r="H74" s="98" t="str">
        <x:f>IF(B74="","",SUM(D74:F74))</x:f>
      </x:c>
      <x:c r="I74" s="101" t="str">
        <x:f>IF(B74="","",SUMIF('Pirma diena'!$B$6:$B$90,B74,'Pirma diena'!$E$6:$E$90)+SUMIF('Antra diena'!$B$6:$B$90,B74,'Antra diena'!$E$6:$E$90)+SUMIF('Trečia diena'!$B$6:$B$90,B74,'Trečia diena'!$E$6:$E$90))</x:f>
      </x:c>
      <x:c r="J74" s="83" t="str">
        <x:f>IF(B74="","",IF(G74=3,"3 dienos",IF(G74=2,"2 dienos","Tik 1 diena")))</x:f>
      </x:c>
    </x:row>
    <x:row r="75">
      <x:c r="A75" s="95" t="str">
        <x:f>IF(B75="","",1+COUNTIFS($H$6:$H$90,"&gt;0",$H$6:$H$90,"&lt;"&amp;H75)+COUNTIFS($H$6:$H$90,H75,$I$6:$I$90,"&gt;"&amp;I75))</x:f>
      </x:c>
      <x:c r="B75" s="83" t="str">
        <x:f>IF('Pirma diena'!B75="","",'Pirma diena'!B75)</x:f>
      </x:c>
      <x:c r="C75" s="83" t="str">
        <x:f>IF(B75="","",'Pirma diena'!C75)</x:f>
      </x:c>
      <x:c r="D75" s="98" t="str">
        <x:f>IF(B75="","",IF(COUNTIF('Pirma diena'!$B$6:$B$90,B75)=0,"",SUMIF('Pirma diena'!$B$6:$B$90,B75,'Pirma diena'!$G$6:$G$90)))</x:f>
      </x:c>
      <x:c r="E75" s="98" t="str">
        <x:f>IF(B75="","",IF(COUNTIF('Antra diena'!$B$6:$B$90,B75)=0,"",SUMIF('Antra diena'!$B$6:$B$90,B75,'Antra diena'!$G$6:$G$90)))</x:f>
      </x:c>
      <x:c r="F75" s="98" t="str">
        <x:f>IF(B75="","",IF(COUNTIF('Trečia diena'!$B$6:$B$90,B75)=0,"",SUMIF('Trečia diena'!$B$6:$B$90,B75,'Trečia diena'!$G$6:$G$90)))</x:f>
      </x:c>
      <x:c r="G75" s="98" t="str">
        <x:f>IF(B75="","",COUNT(D75:F75))</x:f>
      </x:c>
      <x:c r="H75" s="98" t="str">
        <x:f>IF(B75="","",SUM(D75:F75))</x:f>
      </x:c>
      <x:c r="I75" s="101" t="str">
        <x:f>IF(B75="","",SUMIF('Pirma diena'!$B$6:$B$90,B75,'Pirma diena'!$E$6:$E$90)+SUMIF('Antra diena'!$B$6:$B$90,B75,'Antra diena'!$E$6:$E$90)+SUMIF('Trečia diena'!$B$6:$B$90,B75,'Trečia diena'!$E$6:$E$90))</x:f>
      </x:c>
      <x:c r="J75" s="83" t="str">
        <x:f>IF(B75="","",IF(G75=3,"3 dienos",IF(G75=2,"2 dienos","Tik 1 diena")))</x:f>
      </x:c>
    </x:row>
    <x:row r="76">
      <x:c r="A76" s="95" t="str">
        <x:f>IF(B76="","",1+COUNTIFS($H$6:$H$90,"&gt;0",$H$6:$H$90,"&lt;"&amp;H76)+COUNTIFS($H$6:$H$90,H76,$I$6:$I$90,"&gt;"&amp;I76))</x:f>
      </x:c>
      <x:c r="B76" s="83" t="str">
        <x:f>IF('Pirma diena'!B76="","",'Pirma diena'!B76)</x:f>
      </x:c>
      <x:c r="C76" s="83" t="str">
        <x:f>IF(B76="","",'Pirma diena'!C76)</x:f>
      </x:c>
      <x:c r="D76" s="98" t="str">
        <x:f>IF(B76="","",IF(COUNTIF('Pirma diena'!$B$6:$B$90,B76)=0,"",SUMIF('Pirma diena'!$B$6:$B$90,B76,'Pirma diena'!$G$6:$G$90)))</x:f>
      </x:c>
      <x:c r="E76" s="98" t="str">
        <x:f>IF(B76="","",IF(COUNTIF('Antra diena'!$B$6:$B$90,B76)=0,"",SUMIF('Antra diena'!$B$6:$B$90,B76,'Antra diena'!$G$6:$G$90)))</x:f>
      </x:c>
      <x:c r="F76" s="98" t="str">
        <x:f>IF(B76="","",IF(COUNTIF('Trečia diena'!$B$6:$B$90,B76)=0,"",SUMIF('Trečia diena'!$B$6:$B$90,B76,'Trečia diena'!$G$6:$G$90)))</x:f>
      </x:c>
      <x:c r="G76" s="98" t="str">
        <x:f>IF(B76="","",COUNT(D76:F76))</x:f>
      </x:c>
      <x:c r="H76" s="98" t="str">
        <x:f>IF(B76="","",SUM(D76:F76))</x:f>
      </x:c>
      <x:c r="I76" s="101" t="str">
        <x:f>IF(B76="","",SUMIF('Pirma diena'!$B$6:$B$90,B76,'Pirma diena'!$E$6:$E$90)+SUMIF('Antra diena'!$B$6:$B$90,B76,'Antra diena'!$E$6:$E$90)+SUMIF('Trečia diena'!$B$6:$B$90,B76,'Trečia diena'!$E$6:$E$90))</x:f>
      </x:c>
      <x:c r="J76" s="83" t="str">
        <x:f>IF(B76="","",IF(G76=3,"3 dienos",IF(G76=2,"2 dienos","Tik 1 diena")))</x:f>
      </x:c>
    </x:row>
    <x:row r="77">
      <x:c r="A77" s="95" t="str">
        <x:f>IF(B77="","",1+COUNTIFS($H$6:$H$90,"&gt;0",$H$6:$H$90,"&lt;"&amp;H77)+COUNTIFS($H$6:$H$90,H77,$I$6:$I$90,"&gt;"&amp;I77))</x:f>
      </x:c>
      <x:c r="B77" s="83" t="str">
        <x:f>IF('Pirma diena'!B77="","",'Pirma diena'!B77)</x:f>
      </x:c>
      <x:c r="C77" s="83" t="str">
        <x:f>IF(B77="","",'Pirma diena'!C77)</x:f>
      </x:c>
      <x:c r="D77" s="98" t="str">
        <x:f>IF(B77="","",IF(COUNTIF('Pirma diena'!$B$6:$B$90,B77)=0,"",SUMIF('Pirma diena'!$B$6:$B$90,B77,'Pirma diena'!$G$6:$G$90)))</x:f>
      </x:c>
      <x:c r="E77" s="98" t="str">
        <x:f>IF(B77="","",IF(COUNTIF('Antra diena'!$B$6:$B$90,B77)=0,"",SUMIF('Antra diena'!$B$6:$B$90,B77,'Antra diena'!$G$6:$G$90)))</x:f>
      </x:c>
      <x:c r="F77" s="98" t="str">
        <x:f>IF(B77="","",IF(COUNTIF('Trečia diena'!$B$6:$B$90,B77)=0,"",SUMIF('Trečia diena'!$B$6:$B$90,B77,'Trečia diena'!$G$6:$G$90)))</x:f>
      </x:c>
      <x:c r="G77" s="98" t="str">
        <x:f>IF(B77="","",COUNT(D77:F77))</x:f>
      </x:c>
      <x:c r="H77" s="98" t="str">
        <x:f>IF(B77="","",SUM(D77:F77))</x:f>
      </x:c>
      <x:c r="I77" s="101" t="str">
        <x:f>IF(B77="","",SUMIF('Pirma diena'!$B$6:$B$90,B77,'Pirma diena'!$E$6:$E$90)+SUMIF('Antra diena'!$B$6:$B$90,B77,'Antra diena'!$E$6:$E$90)+SUMIF('Trečia diena'!$B$6:$B$90,B77,'Trečia diena'!$E$6:$E$90))</x:f>
      </x:c>
      <x:c r="J77" s="83" t="str">
        <x:f>IF(B77="","",IF(G77=3,"3 dienos",IF(G77=2,"2 dienos","Tik 1 diena")))</x:f>
      </x:c>
    </x:row>
    <x:row r="78">
      <x:c r="A78" s="95" t="str">
        <x:f>IF(B78="","",1+COUNTIFS($H$6:$H$90,"&gt;0",$H$6:$H$90,"&lt;"&amp;H78)+COUNTIFS($H$6:$H$90,H78,$I$6:$I$90,"&gt;"&amp;I78))</x:f>
      </x:c>
      <x:c r="B78" s="83" t="str">
        <x:f>IF('Pirma diena'!B78="","",'Pirma diena'!B78)</x:f>
      </x:c>
      <x:c r="C78" s="83" t="str">
        <x:f>IF(B78="","",'Pirma diena'!C78)</x:f>
      </x:c>
      <x:c r="D78" s="98" t="str">
        <x:f>IF(B78="","",IF(COUNTIF('Pirma diena'!$B$6:$B$90,B78)=0,"",SUMIF('Pirma diena'!$B$6:$B$90,B78,'Pirma diena'!$G$6:$G$90)))</x:f>
      </x:c>
      <x:c r="E78" s="98" t="str">
        <x:f>IF(B78="","",IF(COUNTIF('Antra diena'!$B$6:$B$90,B78)=0,"",SUMIF('Antra diena'!$B$6:$B$90,B78,'Antra diena'!$G$6:$G$90)))</x:f>
      </x:c>
      <x:c r="F78" s="98" t="str">
        <x:f>IF(B78="","",IF(COUNTIF('Trečia diena'!$B$6:$B$90,B78)=0,"",SUMIF('Trečia diena'!$B$6:$B$90,B78,'Trečia diena'!$G$6:$G$90)))</x:f>
      </x:c>
      <x:c r="G78" s="98" t="str">
        <x:f>IF(B78="","",COUNT(D78:F78))</x:f>
      </x:c>
      <x:c r="H78" s="98" t="str">
        <x:f>IF(B78="","",SUM(D78:F78))</x:f>
      </x:c>
      <x:c r="I78" s="101" t="str">
        <x:f>IF(B78="","",SUMIF('Pirma diena'!$B$6:$B$90,B78,'Pirma diena'!$E$6:$E$90)+SUMIF('Antra diena'!$B$6:$B$90,B78,'Antra diena'!$E$6:$E$90)+SUMIF('Trečia diena'!$B$6:$B$90,B78,'Trečia diena'!$E$6:$E$90))</x:f>
      </x:c>
      <x:c r="J78" s="83" t="str">
        <x:f>IF(B78="","",IF(G78=3,"3 dienos",IF(G78=2,"2 dienos","Tik 1 diena")))</x:f>
      </x:c>
    </x:row>
    <x:row r="79">
      <x:c r="A79" s="95" t="str">
        <x:f>IF(B79="","",1+COUNTIFS($H$6:$H$90,"&gt;0",$H$6:$H$90,"&lt;"&amp;H79)+COUNTIFS($H$6:$H$90,H79,$I$6:$I$90,"&gt;"&amp;I79))</x:f>
      </x:c>
      <x:c r="B79" s="83" t="str">
        <x:f>IF('Pirma diena'!B79="","",'Pirma diena'!B79)</x:f>
      </x:c>
      <x:c r="C79" s="83" t="str">
        <x:f>IF(B79="","",'Pirma diena'!C79)</x:f>
      </x:c>
      <x:c r="D79" s="98" t="str">
        <x:f>IF(B79="","",IF(COUNTIF('Pirma diena'!$B$6:$B$90,B79)=0,"",SUMIF('Pirma diena'!$B$6:$B$90,B79,'Pirma diena'!$G$6:$G$90)))</x:f>
      </x:c>
      <x:c r="E79" s="98" t="str">
        <x:f>IF(B79="","",IF(COUNTIF('Antra diena'!$B$6:$B$90,B79)=0,"",SUMIF('Antra diena'!$B$6:$B$90,B79,'Antra diena'!$G$6:$G$90)))</x:f>
      </x:c>
      <x:c r="F79" s="98" t="str">
        <x:f>IF(B79="","",IF(COUNTIF('Trečia diena'!$B$6:$B$90,B79)=0,"",SUMIF('Trečia diena'!$B$6:$B$90,B79,'Trečia diena'!$G$6:$G$90)))</x:f>
      </x:c>
      <x:c r="G79" s="98" t="str">
        <x:f>IF(B79="","",COUNT(D79:F79))</x:f>
      </x:c>
      <x:c r="H79" s="98" t="str">
        <x:f>IF(B79="","",SUM(D79:F79))</x:f>
      </x:c>
      <x:c r="I79" s="101" t="str">
        <x:f>IF(B79="","",SUMIF('Pirma diena'!$B$6:$B$90,B79,'Pirma diena'!$E$6:$E$90)+SUMIF('Antra diena'!$B$6:$B$90,B79,'Antra diena'!$E$6:$E$90)+SUMIF('Trečia diena'!$B$6:$B$90,B79,'Trečia diena'!$E$6:$E$90))</x:f>
      </x:c>
      <x:c r="J79" s="83" t="str">
        <x:f>IF(B79="","",IF(G79=3,"3 dienos",IF(G79=2,"2 dienos","Tik 1 diena")))</x:f>
      </x:c>
    </x:row>
    <x:row r="80">
      <x:c r="A80" s="95" t="str">
        <x:f>IF(B80="","",1+COUNTIFS($H$6:$H$90,"&gt;0",$H$6:$H$90,"&lt;"&amp;H80)+COUNTIFS($H$6:$H$90,H80,$I$6:$I$90,"&gt;"&amp;I80))</x:f>
      </x:c>
      <x:c r="B80" s="83" t="str">
        <x:f>IF('Pirma diena'!B80="","",'Pirma diena'!B80)</x:f>
      </x:c>
      <x:c r="C80" s="83" t="str">
        <x:f>IF(B80="","",'Pirma diena'!C80)</x:f>
      </x:c>
      <x:c r="D80" s="98" t="str">
        <x:f>IF(B80="","",IF(COUNTIF('Pirma diena'!$B$6:$B$90,B80)=0,"",SUMIF('Pirma diena'!$B$6:$B$90,B80,'Pirma diena'!$G$6:$G$90)))</x:f>
      </x:c>
      <x:c r="E80" s="98" t="str">
        <x:f>IF(B80="","",IF(COUNTIF('Antra diena'!$B$6:$B$90,B80)=0,"",SUMIF('Antra diena'!$B$6:$B$90,B80,'Antra diena'!$G$6:$G$90)))</x:f>
      </x:c>
      <x:c r="F80" s="98" t="str">
        <x:f>IF(B80="","",IF(COUNTIF('Trečia diena'!$B$6:$B$90,B80)=0,"",SUMIF('Trečia diena'!$B$6:$B$90,B80,'Trečia diena'!$G$6:$G$90)))</x:f>
      </x:c>
      <x:c r="G80" s="98" t="str">
        <x:f>IF(B80="","",COUNT(D80:F80))</x:f>
      </x:c>
      <x:c r="H80" s="98" t="str">
        <x:f>IF(B80="","",SUM(D80:F80))</x:f>
      </x:c>
      <x:c r="I80" s="101" t="str">
        <x:f>IF(B80="","",SUMIF('Pirma diena'!$B$6:$B$90,B80,'Pirma diena'!$E$6:$E$90)+SUMIF('Antra diena'!$B$6:$B$90,B80,'Antra diena'!$E$6:$E$90)+SUMIF('Trečia diena'!$B$6:$B$90,B80,'Trečia diena'!$E$6:$E$90))</x:f>
      </x:c>
      <x:c r="J80" s="83" t="str">
        <x:f>IF(B80="","",IF(G80=3,"3 dienos",IF(G80=2,"2 dienos","Tik 1 diena")))</x:f>
      </x:c>
    </x:row>
    <x:row r="81">
      <x:c r="A81" s="95" t="str">
        <x:f>IF(B81="","",1+COUNTIFS($H$6:$H$90,"&gt;0",$H$6:$H$90,"&lt;"&amp;H81)+COUNTIFS($H$6:$H$90,H81,$I$6:$I$90,"&gt;"&amp;I81))</x:f>
      </x:c>
      <x:c r="B81" s="83" t="str">
        <x:f>IF('Pirma diena'!B81="","",'Pirma diena'!B81)</x:f>
      </x:c>
      <x:c r="C81" s="83" t="str">
        <x:f>IF(B81="","",'Pirma diena'!C81)</x:f>
      </x:c>
      <x:c r="D81" s="98" t="str">
        <x:f>IF(B81="","",IF(COUNTIF('Pirma diena'!$B$6:$B$90,B81)=0,"",SUMIF('Pirma diena'!$B$6:$B$90,B81,'Pirma diena'!$G$6:$G$90)))</x:f>
      </x:c>
      <x:c r="E81" s="98" t="str">
        <x:f>IF(B81="","",IF(COUNTIF('Antra diena'!$B$6:$B$90,B81)=0,"",SUMIF('Antra diena'!$B$6:$B$90,B81,'Antra diena'!$G$6:$G$90)))</x:f>
      </x:c>
      <x:c r="F81" s="98" t="str">
        <x:f>IF(B81="","",IF(COUNTIF('Trečia diena'!$B$6:$B$90,B81)=0,"",SUMIF('Trečia diena'!$B$6:$B$90,B81,'Trečia diena'!$G$6:$G$90)))</x:f>
      </x:c>
      <x:c r="G81" s="98" t="str">
        <x:f>IF(B81="","",COUNT(D81:F81))</x:f>
      </x:c>
      <x:c r="H81" s="98" t="str">
        <x:f>IF(B81="","",SUM(D81:F81))</x:f>
      </x:c>
      <x:c r="I81" s="101" t="str">
        <x:f>IF(B81="","",SUMIF('Pirma diena'!$B$6:$B$90,B81,'Pirma diena'!$E$6:$E$90)+SUMIF('Antra diena'!$B$6:$B$90,B81,'Antra diena'!$E$6:$E$90)+SUMIF('Trečia diena'!$B$6:$B$90,B81,'Trečia diena'!$E$6:$E$90))</x:f>
      </x:c>
      <x:c r="J81" s="83" t="str">
        <x:f>IF(B81="","",IF(G81=3,"3 dienos",IF(G81=2,"2 dienos","Tik 1 diena")))</x:f>
      </x:c>
    </x:row>
    <x:row r="82">
      <x:c r="A82" s="95" t="str">
        <x:f>IF(B82="","",1+COUNTIFS($H$6:$H$90,"&gt;0",$H$6:$H$90,"&lt;"&amp;H82)+COUNTIFS($H$6:$H$90,H82,$I$6:$I$90,"&gt;"&amp;I82))</x:f>
      </x:c>
      <x:c r="B82" s="83" t="str">
        <x:f>IF('Pirma diena'!B82="","",'Pirma diena'!B82)</x:f>
      </x:c>
      <x:c r="C82" s="83" t="str">
        <x:f>IF(B82="","",'Pirma diena'!C82)</x:f>
      </x:c>
      <x:c r="D82" s="98" t="str">
        <x:f>IF(B82="","",IF(COUNTIF('Pirma diena'!$B$6:$B$90,B82)=0,"",SUMIF('Pirma diena'!$B$6:$B$90,B82,'Pirma diena'!$G$6:$G$90)))</x:f>
      </x:c>
      <x:c r="E82" s="98" t="str">
        <x:f>IF(B82="","",IF(COUNTIF('Antra diena'!$B$6:$B$90,B82)=0,"",SUMIF('Antra diena'!$B$6:$B$90,B82,'Antra diena'!$G$6:$G$90)))</x:f>
      </x:c>
      <x:c r="F82" s="98" t="str">
        <x:f>IF(B82="","",IF(COUNTIF('Trečia diena'!$B$6:$B$90,B82)=0,"",SUMIF('Trečia diena'!$B$6:$B$90,B82,'Trečia diena'!$G$6:$G$90)))</x:f>
      </x:c>
      <x:c r="G82" s="98" t="str">
        <x:f>IF(B82="","",COUNT(D82:F82))</x:f>
      </x:c>
      <x:c r="H82" s="98" t="str">
        <x:f>IF(B82="","",SUM(D82:F82))</x:f>
      </x:c>
      <x:c r="I82" s="101" t="str">
        <x:f>IF(B82="","",SUMIF('Pirma diena'!$B$6:$B$90,B82,'Pirma diena'!$E$6:$E$90)+SUMIF('Antra diena'!$B$6:$B$90,B82,'Antra diena'!$E$6:$E$90)+SUMIF('Trečia diena'!$B$6:$B$90,B82,'Trečia diena'!$E$6:$E$90))</x:f>
      </x:c>
      <x:c r="J82" s="83" t="str">
        <x:f>IF(B82="","",IF(G82=3,"3 dienos",IF(G82=2,"2 dienos","Tik 1 diena")))</x:f>
      </x:c>
    </x:row>
    <x:row r="83">
      <x:c r="A83" s="95" t="str">
        <x:f>IF(B83="","",1+COUNTIFS($H$6:$H$90,"&gt;0",$H$6:$H$90,"&lt;"&amp;H83)+COUNTIFS($H$6:$H$90,H83,$I$6:$I$90,"&gt;"&amp;I83))</x:f>
      </x:c>
      <x:c r="B83" s="83" t="str">
        <x:f>IF('Pirma diena'!B83="","",'Pirma diena'!B83)</x:f>
      </x:c>
      <x:c r="C83" s="83" t="str">
        <x:f>IF(B83="","",'Pirma diena'!C83)</x:f>
      </x:c>
      <x:c r="D83" s="98" t="str">
        <x:f>IF(B83="","",IF(COUNTIF('Pirma diena'!$B$6:$B$90,B83)=0,"",SUMIF('Pirma diena'!$B$6:$B$90,B83,'Pirma diena'!$G$6:$G$90)))</x:f>
      </x:c>
      <x:c r="E83" s="98" t="str">
        <x:f>IF(B83="","",IF(COUNTIF('Antra diena'!$B$6:$B$90,B83)=0,"",SUMIF('Antra diena'!$B$6:$B$90,B83,'Antra diena'!$G$6:$G$90)))</x:f>
      </x:c>
      <x:c r="F83" s="98" t="str">
        <x:f>IF(B83="","",IF(COUNTIF('Trečia diena'!$B$6:$B$90,B83)=0,"",SUMIF('Trečia diena'!$B$6:$B$90,B83,'Trečia diena'!$G$6:$G$90)))</x:f>
      </x:c>
      <x:c r="G83" s="98" t="str">
        <x:f>IF(B83="","",COUNT(D83:F83))</x:f>
      </x:c>
      <x:c r="H83" s="98" t="str">
        <x:f>IF(B83="","",SUM(D83:F83))</x:f>
      </x:c>
      <x:c r="I83" s="101" t="str">
        <x:f>IF(B83="","",SUMIF('Pirma diena'!$B$6:$B$90,B83,'Pirma diena'!$E$6:$E$90)+SUMIF('Antra diena'!$B$6:$B$90,B83,'Antra diena'!$E$6:$E$90)+SUMIF('Trečia diena'!$B$6:$B$90,B83,'Trečia diena'!$E$6:$E$90))</x:f>
      </x:c>
      <x:c r="J83" s="83" t="str">
        <x:f>IF(B83="","",IF(G83=3,"3 dienos",IF(G83=2,"2 dienos","Tik 1 diena")))</x:f>
      </x:c>
    </x:row>
    <x:row r="84">
      <x:c r="A84" s="95" t="str">
        <x:f>IF(B84="","",1+COUNTIFS($H$6:$H$90,"&gt;0",$H$6:$H$90,"&lt;"&amp;H84)+COUNTIFS($H$6:$H$90,H84,$I$6:$I$90,"&gt;"&amp;I84))</x:f>
      </x:c>
      <x:c r="B84" s="83" t="str">
        <x:f>IF('Pirma diena'!B84="","",'Pirma diena'!B84)</x:f>
      </x:c>
      <x:c r="C84" s="83" t="str">
        <x:f>IF(B84="","",'Pirma diena'!C84)</x:f>
      </x:c>
      <x:c r="D84" s="98" t="str">
        <x:f>IF(B84="","",IF(COUNTIF('Pirma diena'!$B$6:$B$90,B84)=0,"",SUMIF('Pirma diena'!$B$6:$B$90,B84,'Pirma diena'!$G$6:$G$90)))</x:f>
      </x:c>
      <x:c r="E84" s="98" t="str">
        <x:f>IF(B84="","",IF(COUNTIF('Antra diena'!$B$6:$B$90,B84)=0,"",SUMIF('Antra diena'!$B$6:$B$90,B84,'Antra diena'!$G$6:$G$90)))</x:f>
      </x:c>
      <x:c r="F84" s="98" t="str">
        <x:f>IF(B84="","",IF(COUNTIF('Trečia diena'!$B$6:$B$90,B84)=0,"",SUMIF('Trečia diena'!$B$6:$B$90,B84,'Trečia diena'!$G$6:$G$90)))</x:f>
      </x:c>
      <x:c r="G84" s="98" t="str">
        <x:f>IF(B84="","",COUNT(D84:F84))</x:f>
      </x:c>
      <x:c r="H84" s="98" t="str">
        <x:f>IF(B84="","",SUM(D84:F84))</x:f>
      </x:c>
      <x:c r="I84" s="101" t="str">
        <x:f>IF(B84="","",SUMIF('Pirma diena'!$B$6:$B$90,B84,'Pirma diena'!$E$6:$E$90)+SUMIF('Antra diena'!$B$6:$B$90,B84,'Antra diena'!$E$6:$E$90)+SUMIF('Trečia diena'!$B$6:$B$90,B84,'Trečia diena'!$E$6:$E$90))</x:f>
      </x:c>
      <x:c r="J84" s="83" t="str">
        <x:f>IF(B84="","",IF(G84=3,"3 dienos",IF(G84=2,"2 dienos","Tik 1 diena")))</x:f>
      </x:c>
    </x:row>
    <x:row r="85">
      <x:c r="A85" s="95" t="str">
        <x:f>IF(B85="","",1+COUNTIFS($H$6:$H$90,"&gt;0",$H$6:$H$90,"&lt;"&amp;H85)+COUNTIFS($H$6:$H$90,H85,$I$6:$I$90,"&gt;"&amp;I85))</x:f>
      </x:c>
      <x:c r="B85" s="83" t="str">
        <x:f>IF('Pirma diena'!B85="","",'Pirma diena'!B85)</x:f>
      </x:c>
      <x:c r="C85" s="83" t="str">
        <x:f>IF(B85="","",'Pirma diena'!C85)</x:f>
      </x:c>
      <x:c r="D85" s="98" t="str">
        <x:f>IF(B85="","",IF(COUNTIF('Pirma diena'!$B$6:$B$90,B85)=0,"",SUMIF('Pirma diena'!$B$6:$B$90,B85,'Pirma diena'!$G$6:$G$90)))</x:f>
      </x:c>
      <x:c r="E85" s="98" t="str">
        <x:f>IF(B85="","",IF(COUNTIF('Antra diena'!$B$6:$B$90,B85)=0,"",SUMIF('Antra diena'!$B$6:$B$90,B85,'Antra diena'!$G$6:$G$90)))</x:f>
      </x:c>
      <x:c r="F85" s="98" t="str">
        <x:f>IF(B85="","",IF(COUNTIF('Trečia diena'!$B$6:$B$90,B85)=0,"",SUMIF('Trečia diena'!$B$6:$B$90,B85,'Trečia diena'!$G$6:$G$90)))</x:f>
      </x:c>
      <x:c r="G85" s="98" t="str">
        <x:f>IF(B85="","",COUNT(D85:F85))</x:f>
      </x:c>
      <x:c r="H85" s="98" t="str">
        <x:f>IF(B85="","",SUM(D85:F85))</x:f>
      </x:c>
      <x:c r="I85" s="101" t="str">
        <x:f>IF(B85="","",SUMIF('Pirma diena'!$B$6:$B$90,B85,'Pirma diena'!$E$6:$E$90)+SUMIF('Antra diena'!$B$6:$B$90,B85,'Antra diena'!$E$6:$E$90)+SUMIF('Trečia diena'!$B$6:$B$90,B85,'Trečia diena'!$E$6:$E$90))</x:f>
      </x:c>
      <x:c r="J85" s="83" t="str">
        <x:f>IF(B85="","",IF(G85=3,"3 dienos",IF(G85=2,"2 dienos","Tik 1 diena")))</x:f>
      </x:c>
    </x:row>
    <x:row r="86">
      <x:c r="A86" s="95" t="str">
        <x:f>IF(B86="","",1+COUNTIFS($H$6:$H$90,"&gt;0",$H$6:$H$90,"&lt;"&amp;H86)+COUNTIFS($H$6:$H$90,H86,$I$6:$I$90,"&gt;"&amp;I86))</x:f>
      </x:c>
      <x:c r="B86" s="83" t="str">
        <x:f>IF('Pirma diena'!B86="","",'Pirma diena'!B86)</x:f>
      </x:c>
      <x:c r="C86" s="83" t="str">
        <x:f>IF(B86="","",'Pirma diena'!C86)</x:f>
      </x:c>
      <x:c r="D86" s="98" t="str">
        <x:f>IF(B86="","",IF(COUNTIF('Pirma diena'!$B$6:$B$90,B86)=0,"",SUMIF('Pirma diena'!$B$6:$B$90,B86,'Pirma diena'!$G$6:$G$90)))</x:f>
      </x:c>
      <x:c r="E86" s="98" t="str">
        <x:f>IF(B86="","",IF(COUNTIF('Antra diena'!$B$6:$B$90,B86)=0,"",SUMIF('Antra diena'!$B$6:$B$90,B86,'Antra diena'!$G$6:$G$90)))</x:f>
      </x:c>
      <x:c r="F86" s="98" t="str">
        <x:f>IF(B86="","",IF(COUNTIF('Trečia diena'!$B$6:$B$90,B86)=0,"",SUMIF('Trečia diena'!$B$6:$B$90,B86,'Trečia diena'!$G$6:$G$90)))</x:f>
      </x:c>
      <x:c r="G86" s="98" t="str">
        <x:f>IF(B86="","",COUNT(D86:F86))</x:f>
      </x:c>
      <x:c r="H86" s="98" t="str">
        <x:f>IF(B86="","",SUM(D86:F86))</x:f>
      </x:c>
      <x:c r="I86" s="101" t="str">
        <x:f>IF(B86="","",SUMIF('Pirma diena'!$B$6:$B$90,B86,'Pirma diena'!$E$6:$E$90)+SUMIF('Antra diena'!$B$6:$B$90,B86,'Antra diena'!$E$6:$E$90)+SUMIF('Trečia diena'!$B$6:$B$90,B86,'Trečia diena'!$E$6:$E$90))</x:f>
      </x:c>
      <x:c r="J86" s="83" t="str">
        <x:f>IF(B86="","",IF(G86=3,"3 dienos",IF(G86=2,"2 dienos","Tik 1 diena")))</x:f>
      </x:c>
    </x:row>
    <x:row r="87">
      <x:c r="A87" s="95" t="str">
        <x:f>IF(B87="","",1+COUNTIFS($H$6:$H$90,"&gt;0",$H$6:$H$90,"&lt;"&amp;H87)+COUNTIFS($H$6:$H$90,H87,$I$6:$I$90,"&gt;"&amp;I87))</x:f>
      </x:c>
      <x:c r="B87" s="83" t="str">
        <x:f>IF('Pirma diena'!B87="","",'Pirma diena'!B87)</x:f>
      </x:c>
      <x:c r="C87" s="83" t="str">
        <x:f>IF(B87="","",'Pirma diena'!C87)</x:f>
      </x:c>
      <x:c r="D87" s="98" t="str">
        <x:f>IF(B87="","",IF(COUNTIF('Pirma diena'!$B$6:$B$90,B87)=0,"",SUMIF('Pirma diena'!$B$6:$B$90,B87,'Pirma diena'!$G$6:$G$90)))</x:f>
      </x:c>
      <x:c r="E87" s="98" t="str">
        <x:f>IF(B87="","",IF(COUNTIF('Antra diena'!$B$6:$B$90,B87)=0,"",SUMIF('Antra diena'!$B$6:$B$90,B87,'Antra diena'!$G$6:$G$90)))</x:f>
      </x:c>
      <x:c r="F87" s="98" t="str">
        <x:f>IF(B87="","",IF(COUNTIF('Trečia diena'!$B$6:$B$90,B87)=0,"",SUMIF('Trečia diena'!$B$6:$B$90,B87,'Trečia diena'!$G$6:$G$90)))</x:f>
      </x:c>
      <x:c r="G87" s="98" t="str">
        <x:f>IF(B87="","",COUNT(D87:F87))</x:f>
      </x:c>
      <x:c r="H87" s="98" t="str">
        <x:f>IF(B87="","",SUM(D87:F87))</x:f>
      </x:c>
      <x:c r="I87" s="101" t="str">
        <x:f>IF(B87="","",SUMIF('Pirma diena'!$B$6:$B$90,B87,'Pirma diena'!$E$6:$E$90)+SUMIF('Antra diena'!$B$6:$B$90,B87,'Antra diena'!$E$6:$E$90)+SUMIF('Trečia diena'!$B$6:$B$90,B87,'Trečia diena'!$E$6:$E$90))</x:f>
      </x:c>
      <x:c r="J87" s="83" t="str">
        <x:f>IF(B87="","",IF(G87=3,"3 dienos",IF(G87=2,"2 dienos","Tik 1 diena")))</x:f>
      </x:c>
    </x:row>
    <x:row r="88">
      <x:c r="A88" s="95" t="str">
        <x:f>IF(B88="","",1+COUNTIFS($H$6:$H$90,"&gt;0",$H$6:$H$90,"&lt;"&amp;H88)+COUNTIFS($H$6:$H$90,H88,$I$6:$I$90,"&gt;"&amp;I88))</x:f>
      </x:c>
      <x:c r="B88" s="83" t="str">
        <x:f>IF('Pirma diena'!B88="","",'Pirma diena'!B88)</x:f>
      </x:c>
      <x:c r="C88" s="83" t="str">
        <x:f>IF(B88="","",'Pirma diena'!C88)</x:f>
      </x:c>
      <x:c r="D88" s="98" t="str">
        <x:f>IF(B88="","",IF(COUNTIF('Pirma diena'!$B$6:$B$90,B88)=0,"",SUMIF('Pirma diena'!$B$6:$B$90,B88,'Pirma diena'!$G$6:$G$90)))</x:f>
      </x:c>
      <x:c r="E88" s="98" t="str">
        <x:f>IF(B88="","",IF(COUNTIF('Antra diena'!$B$6:$B$90,B88)=0,"",SUMIF('Antra diena'!$B$6:$B$90,B88,'Antra diena'!$G$6:$G$90)))</x:f>
      </x:c>
      <x:c r="F88" s="98" t="str">
        <x:f>IF(B88="","",IF(COUNTIF('Trečia diena'!$B$6:$B$90,B88)=0,"",SUMIF('Trečia diena'!$B$6:$B$90,B88,'Trečia diena'!$G$6:$G$90)))</x:f>
      </x:c>
      <x:c r="G88" s="98" t="str">
        <x:f>IF(B88="","",COUNT(D88:F88))</x:f>
      </x:c>
      <x:c r="H88" s="98" t="str">
        <x:f>IF(B88="","",SUM(D88:F88))</x:f>
      </x:c>
      <x:c r="I88" s="101" t="str">
        <x:f>IF(B88="","",SUMIF('Pirma diena'!$B$6:$B$90,B88,'Pirma diena'!$E$6:$E$90)+SUMIF('Antra diena'!$B$6:$B$90,B88,'Antra diena'!$E$6:$E$90)+SUMIF('Trečia diena'!$B$6:$B$90,B88,'Trečia diena'!$E$6:$E$90))</x:f>
      </x:c>
      <x:c r="J88" s="83" t="str">
        <x:f>IF(B88="","",IF(G88=3,"3 dienos",IF(G88=2,"2 dienos","Tik 1 diena")))</x:f>
      </x:c>
    </x:row>
    <x:row r="89">
      <x:c r="A89" s="95" t="str">
        <x:f>IF(B89="","",1+COUNTIFS($H$6:$H$90,"&gt;0",$H$6:$H$90,"&lt;"&amp;H89)+COUNTIFS($H$6:$H$90,H89,$I$6:$I$90,"&gt;"&amp;I89))</x:f>
      </x:c>
      <x:c r="B89" s="83" t="str">
        <x:f>IF('Pirma diena'!B89="","",'Pirma diena'!B89)</x:f>
      </x:c>
      <x:c r="C89" s="83" t="str">
        <x:f>IF(B89="","",'Pirma diena'!C89)</x:f>
      </x:c>
      <x:c r="D89" s="98" t="str">
        <x:f>IF(B89="","",IF(COUNTIF('Pirma diena'!$B$6:$B$90,B89)=0,"",SUMIF('Pirma diena'!$B$6:$B$90,B89,'Pirma diena'!$G$6:$G$90)))</x:f>
      </x:c>
      <x:c r="E89" s="98" t="str">
        <x:f>IF(B89="","",IF(COUNTIF('Antra diena'!$B$6:$B$90,B89)=0,"",SUMIF('Antra diena'!$B$6:$B$90,B89,'Antra diena'!$G$6:$G$90)))</x:f>
      </x:c>
      <x:c r="F89" s="98" t="str">
        <x:f>IF(B89="","",IF(COUNTIF('Trečia diena'!$B$6:$B$90,B89)=0,"",SUMIF('Trečia diena'!$B$6:$B$90,B89,'Trečia diena'!$G$6:$G$90)))</x:f>
      </x:c>
      <x:c r="G89" s="98" t="str">
        <x:f>IF(B89="","",COUNT(D89:F89))</x:f>
      </x:c>
      <x:c r="H89" s="98" t="str">
        <x:f>IF(B89="","",SUM(D89:F89))</x:f>
      </x:c>
      <x:c r="I89" s="101" t="str">
        <x:f>IF(B89="","",SUMIF('Pirma diena'!$B$6:$B$90,B89,'Pirma diena'!$E$6:$E$90)+SUMIF('Antra diena'!$B$6:$B$90,B89,'Antra diena'!$E$6:$E$90)+SUMIF('Trečia diena'!$B$6:$B$90,B89,'Trečia diena'!$E$6:$E$90))</x:f>
      </x:c>
      <x:c r="J89" s="83" t="str">
        <x:f>IF(B89="","",IF(G89=3,"3 dienos",IF(G89=2,"2 dienos","Tik 1 diena")))</x:f>
      </x:c>
    </x:row>
    <x:row r="90">
      <x:c r="A90" s="96" t="str">
        <x:f>IF(B90="","",1+COUNTIFS($H$6:$H$90,"&gt;0",$H$6:$H$90,"&lt;"&amp;H90)+COUNTIFS($H$6:$H$90,H90,$I$6:$I$90,"&gt;"&amp;I90))</x:f>
      </x:c>
      <x:c r="B90" s="84" t="str">
        <x:f>IF('Pirma diena'!B90="","",'Pirma diena'!B90)</x:f>
      </x:c>
      <x:c r="C90" s="84" t="str">
        <x:f>IF(B90="","",'Pirma diena'!C90)</x:f>
      </x:c>
      <x:c r="D90" s="99" t="str">
        <x:f>IF(B90="","",IF(COUNTIF('Pirma diena'!$B$6:$B$90,B90)=0,"",SUMIF('Pirma diena'!$B$6:$B$90,B90,'Pirma diena'!$G$6:$G$90)))</x:f>
      </x:c>
      <x:c r="E90" s="99" t="str">
        <x:f>IF(B90="","",IF(COUNTIF('Antra diena'!$B$6:$B$90,B90)=0,"",SUMIF('Antra diena'!$B$6:$B$90,B90,'Antra diena'!$G$6:$G$90)))</x:f>
      </x:c>
      <x:c r="F90" s="99" t="str">
        <x:f>IF(B90="","",IF(COUNTIF('Trečia diena'!$B$6:$B$90,B90)=0,"",SUMIF('Trečia diena'!$B$6:$B$90,B90,'Trečia diena'!$G$6:$G$90)))</x:f>
      </x:c>
      <x:c r="G90" s="99" t="str">
        <x:f>IF(B90="","",COUNT(D90:F90))</x:f>
      </x:c>
      <x:c r="H90" s="99" t="str">
        <x:f>IF(B90="","",SUM(D90:F90))</x:f>
      </x:c>
      <x:c r="I90" s="102" t="str">
        <x:f>IF(B90="","",SUMIF('Pirma diena'!$B$6:$B$90,B90,'Pirma diena'!$E$6:$E$90)+SUMIF('Antra diena'!$B$6:$B$90,B90,'Antra diena'!$E$6:$E$90)+SUMIF('Trečia diena'!$B$6:$B$90,B90,'Trečia diena'!$E$6:$E$90))</x:f>
      </x:c>
      <x:c r="J90" s="84" t="str">
        <x:f>IF(B90="","",IF(G90=3,"3 dienos",IF(G90=2,"2 dienos","Tik 1 diena")))</x:f>
      </x:c>
    </x:row>
  </x:sheetData>
  <x:mergeCells>
    <x:mergeCell ref="A1:J1"/>
    <x:mergeCell ref="A2:J2"/>
    <x:mergeCell ref="A3:J3"/>
  </x:mergeCells>
  <x:conditionalFormatting sqref="H6:H90">
    <x:cfRule type="colorScale" priority="1">
      <x:colorScale>
        <x:cfvo type="min"/>
        <x:cfvo type="percentile" val="50"/>
        <x:cfvo type="max"/>
        <x:color rgb="FFD8F0E5"/>
        <x:color rgb="FFFFF2B8"/>
        <x:color rgb="FFF6C7C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72fe7db4fb94f03"/>
  </x:tableParts>
</x:worksheet>
</file>